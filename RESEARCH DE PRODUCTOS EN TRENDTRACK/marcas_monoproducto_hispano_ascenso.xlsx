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0d35849779309b1/Escritorio/CLAUDE/DOCUMENTOS DE INVESTIGACIÓN/RESEARCH DE PRODUCTOS EN TRENDTRACK/"/>
    </mc:Choice>
  </mc:AlternateContent>
  <xr:revisionPtr revIDLastSave="2" documentId="11_DBD31912C98204948410809747470EB8BBE4607C" xr6:coauthVersionLast="47" xr6:coauthVersionMax="47" xr10:uidLastSave="{5EF18623-C2B1-4B0B-BF27-188DDF67E370}"/>
  <bookViews>
    <workbookView xWindow="-120" yWindow="-120" windowWidth="29040" windowHeight="15720" xr2:uid="{00000000-000D-0000-FFFF-FFFF00000000}"/>
  </bookViews>
  <sheets>
    <sheet name="Marcas monoproducto" sheetId="1" r:id="rId1"/>
  </sheets>
  <definedNames>
    <definedName name="_xlnm._FilterDatabase" localSheetId="0" hidden="1">'Marcas monoproducto'!$A$1:$N$101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2" i="1" l="1"/>
  <c r="Q102" i="1" s="1"/>
  <c r="P101" i="1"/>
  <c r="Q101" i="1" s="1"/>
  <c r="P100" i="1"/>
  <c r="Q100" i="1" s="1"/>
  <c r="P99" i="1"/>
  <c r="Q99" i="1" s="1"/>
  <c r="P98" i="1"/>
  <c r="Q98" i="1" s="1"/>
  <c r="P97" i="1"/>
  <c r="Q97" i="1" s="1"/>
  <c r="P96" i="1"/>
  <c r="Q96" i="1" s="1"/>
  <c r="P95" i="1"/>
  <c r="Q95" i="1" s="1"/>
  <c r="P94" i="1"/>
  <c r="Q94" i="1" s="1"/>
  <c r="P93" i="1"/>
  <c r="Q93" i="1" s="1"/>
  <c r="P92" i="1"/>
  <c r="Q92" i="1" s="1"/>
  <c r="P91" i="1"/>
  <c r="Q91" i="1" s="1"/>
  <c r="P90" i="1"/>
  <c r="Q90" i="1" s="1"/>
  <c r="P89" i="1"/>
  <c r="Q89" i="1" s="1"/>
  <c r="P88" i="1"/>
  <c r="Q88" i="1" s="1"/>
  <c r="P87" i="1"/>
  <c r="Q87" i="1" s="1"/>
  <c r="P86" i="1"/>
  <c r="Q86" i="1" s="1"/>
  <c r="P85" i="1"/>
  <c r="Q85" i="1" s="1"/>
  <c r="P84" i="1"/>
  <c r="Q84" i="1" s="1"/>
  <c r="P83" i="1"/>
  <c r="Q83" i="1" s="1"/>
  <c r="P82" i="1"/>
  <c r="Q82" i="1" s="1"/>
  <c r="P81" i="1"/>
  <c r="Q81" i="1" s="1"/>
  <c r="P80" i="1"/>
  <c r="Q80" i="1" s="1"/>
  <c r="P79" i="1"/>
  <c r="Q79" i="1" s="1"/>
  <c r="P78" i="1"/>
  <c r="Q78" i="1" s="1"/>
  <c r="P77" i="1"/>
  <c r="Q77" i="1" s="1"/>
  <c r="P76" i="1"/>
  <c r="Q76" i="1" s="1"/>
  <c r="P75" i="1"/>
  <c r="Q75" i="1" s="1"/>
  <c r="P74" i="1"/>
  <c r="Q74" i="1" s="1"/>
  <c r="P73" i="1"/>
  <c r="Q73" i="1" s="1"/>
  <c r="P72" i="1"/>
  <c r="Q72" i="1" s="1"/>
  <c r="P71" i="1"/>
  <c r="Q71" i="1" s="1"/>
  <c r="P70" i="1"/>
  <c r="Q70" i="1" s="1"/>
  <c r="P69" i="1"/>
  <c r="Q69" i="1" s="1"/>
  <c r="P68" i="1"/>
  <c r="Q68" i="1" s="1"/>
  <c r="P67" i="1"/>
  <c r="Q67" i="1" s="1"/>
  <c r="P66" i="1"/>
  <c r="Q66" i="1" s="1"/>
  <c r="P65" i="1"/>
  <c r="Q65" i="1" s="1"/>
  <c r="P64" i="1"/>
  <c r="Q64" i="1" s="1"/>
  <c r="P63" i="1"/>
  <c r="Q63" i="1" s="1"/>
  <c r="P62" i="1"/>
  <c r="Q62" i="1" s="1"/>
  <c r="P61" i="1"/>
  <c r="Q61" i="1" s="1"/>
  <c r="P60" i="1"/>
  <c r="Q60" i="1" s="1"/>
  <c r="P59" i="1"/>
  <c r="Q59" i="1" s="1"/>
  <c r="P58" i="1"/>
  <c r="Q58" i="1" s="1"/>
  <c r="P57" i="1"/>
  <c r="Q57" i="1" s="1"/>
  <c r="P56" i="1"/>
  <c r="Q56" i="1" s="1"/>
  <c r="P55" i="1"/>
  <c r="Q55" i="1" s="1"/>
  <c r="P54" i="1"/>
  <c r="Q54" i="1" s="1"/>
  <c r="P53" i="1"/>
  <c r="Q53" i="1" s="1"/>
  <c r="P52" i="1"/>
  <c r="Q52" i="1" s="1"/>
  <c r="P51" i="1"/>
  <c r="Q51" i="1" s="1"/>
  <c r="P50" i="1"/>
  <c r="Q50" i="1" s="1"/>
  <c r="P49" i="1"/>
  <c r="Q49" i="1" s="1"/>
  <c r="P48" i="1"/>
  <c r="Q48" i="1" s="1"/>
  <c r="P47" i="1"/>
  <c r="Q47" i="1" s="1"/>
  <c r="P46" i="1"/>
  <c r="Q46" i="1" s="1"/>
  <c r="P45" i="1"/>
  <c r="Q45" i="1" s="1"/>
  <c r="P44" i="1"/>
  <c r="Q44" i="1" s="1"/>
  <c r="P43" i="1"/>
  <c r="Q43" i="1" s="1"/>
  <c r="P42" i="1"/>
  <c r="Q42" i="1" s="1"/>
  <c r="P41" i="1"/>
  <c r="Q41" i="1" s="1"/>
  <c r="P40" i="1"/>
  <c r="Q40" i="1" s="1"/>
  <c r="P39" i="1"/>
  <c r="Q39" i="1" s="1"/>
  <c r="P38" i="1"/>
  <c r="Q38" i="1" s="1"/>
  <c r="P37" i="1"/>
  <c r="Q37" i="1" s="1"/>
  <c r="P36" i="1"/>
  <c r="Q36" i="1" s="1"/>
  <c r="P35" i="1"/>
  <c r="Q35" i="1" s="1"/>
  <c r="P34" i="1"/>
  <c r="Q34" i="1" s="1"/>
  <c r="P33" i="1"/>
  <c r="Q33" i="1" s="1"/>
  <c r="P32" i="1"/>
  <c r="Q32" i="1" s="1"/>
  <c r="P31" i="1"/>
  <c r="Q31" i="1" s="1"/>
  <c r="P30" i="1"/>
  <c r="Q30" i="1" s="1"/>
  <c r="P29" i="1"/>
  <c r="Q29" i="1" s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22" i="1"/>
  <c r="Q22" i="1" s="1"/>
  <c r="P21" i="1"/>
  <c r="Q21" i="1" s="1"/>
  <c r="P20" i="1"/>
  <c r="Q20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P8" i="1"/>
  <c r="Q8" i="1" s="1"/>
  <c r="P7" i="1"/>
  <c r="Q7" i="1" s="1"/>
  <c r="P6" i="1"/>
  <c r="Q6" i="1" s="1"/>
  <c r="P5" i="1"/>
  <c r="Q5" i="1" s="1"/>
  <c r="P4" i="1"/>
  <c r="Q4" i="1" s="1"/>
  <c r="P3" i="1"/>
  <c r="Q3" i="1" s="1"/>
  <c r="P2" i="1"/>
  <c r="Q2" i="1" s="1"/>
</calcChain>
</file>

<file path=xl/sharedStrings.xml><?xml version="1.0" encoding="utf-8"?>
<sst xmlns="http://schemas.openxmlformats.org/spreadsheetml/2006/main" count="1028" uniqueCount="499">
  <si>
    <t>#</t>
  </si>
  <si>
    <t>Marca</t>
  </si>
  <si>
    <t>Producto hero</t>
  </si>
  <si>
    <t>Precio (USD)</t>
  </si>
  <si>
    <t>SKU</t>
  </si>
  <si>
    <t>Ads activos</t>
  </si>
  <si>
    <t>En ascenso</t>
  </si>
  <si>
    <t>Tend. ads 30d</t>
  </si>
  <si>
    <t>Creada</t>
  </si>
  <si>
    <t>Mercados top</t>
  </si>
  <si>
    <t>Tipo</t>
  </si>
  <si>
    <t>Regulación Chile</t>
  </si>
  <si>
    <t>Link</t>
  </si>
  <si>
    <t>¿Sirve? (Sí/No)</t>
  </si>
  <si>
    <t>Visitas/mes</t>
  </si>
  <si>
    <t>Compras est./mes (3%)</t>
  </si>
  <si>
    <t>Revenue est./mes (USD)</t>
  </si>
  <si>
    <t>ZIMA DENTAL EU</t>
  </si>
  <si>
    <t>Ultrasonic Boosting Tablets</t>
  </si>
  <si>
    <t>Sí</t>
  </si>
  <si>
    <t>+13%</t>
  </si>
  <si>
    <t>2023-01</t>
  </si>
  <si>
    <t>US, ES, NL</t>
  </si>
  <si>
    <t>Suplemento</t>
  </si>
  <si>
    <t>ISP / alimento</t>
  </si>
  <si>
    <t>https://zimadental.nl</t>
  </si>
  <si>
    <t>No</t>
  </si>
  <si>
    <t>Bioroot Labs</t>
  </si>
  <si>
    <t>Turmeric Curcumin Capsules (1,000mg)</t>
  </si>
  <si>
    <t>2025-06</t>
  </si>
  <si>
    <t>US, GB, AE</t>
  </si>
  <si>
    <t>https://biorootlabs.com</t>
  </si>
  <si>
    <t>Nivora</t>
  </si>
  <si>
    <t>10 piezas de Mascarillas Faciales</t>
  </si>
  <si>
    <t>+39%</t>
  </si>
  <si>
    <t>2025-03</t>
  </si>
  <si>
    <t>ES</t>
  </si>
  <si>
    <t>Cosmético</t>
  </si>
  <si>
    <t>ISP cosmético</t>
  </si>
  <si>
    <t>https://nivora.es</t>
  </si>
  <si>
    <t>Magneva WW</t>
  </si>
  <si>
    <t>Magneva – Daily ease, Natural balance</t>
  </si>
  <si>
    <t>+60%</t>
  </si>
  <si>
    <t>2025-11</t>
  </si>
  <si>
    <t>https://magneva.co</t>
  </si>
  <si>
    <t>Ecloura</t>
  </si>
  <si>
    <t>Bacne Out Bar</t>
  </si>
  <si>
    <t>+41%</t>
  </si>
  <si>
    <t>2025-01</t>
  </si>
  <si>
    <t>US, GB, FR</t>
  </si>
  <si>
    <t>Gadget / Accesorio</t>
  </si>
  <si>
    <t>Ninguna</t>
  </si>
  <si>
    <t>https://ecloura.com</t>
  </si>
  <si>
    <t>Body &amp; Us</t>
  </si>
  <si>
    <t>Body For Us Anti-Cellulite Massage Oil</t>
  </si>
  <si>
    <t>+23%</t>
  </si>
  <si>
    <t>2025-09</t>
  </si>
  <si>
    <t>GB, AU, SE</t>
  </si>
  <si>
    <t>https://bodyandus.com</t>
  </si>
  <si>
    <t>Pluune</t>
  </si>
  <si>
    <t>Acne Scar Invisible Repair Barrier</t>
  </si>
  <si>
    <t>+34%</t>
  </si>
  <si>
    <t>US, ES, FR</t>
  </si>
  <si>
    <t>https://pluune.com</t>
  </si>
  <si>
    <t>Morge Skin ES</t>
  </si>
  <si>
    <t>Morge Bálsamo Antirarrugas</t>
  </si>
  <si>
    <t>+68%</t>
  </si>
  <si>
    <t>2025-12</t>
  </si>
  <si>
    <t>https://es-morgeskin.com</t>
  </si>
  <si>
    <t>GLP-1 SOS Supplements</t>
  </si>
  <si>
    <t>GLP-1 SOS Support Capsules — Gentle Relief for Constipation, Sulphur Burps &amp; Fatigue on Ozempic, Wegovy &amp; Mounjaro</t>
  </si>
  <si>
    <t>+36%</t>
  </si>
  <si>
    <t>US, AR, GB</t>
  </si>
  <si>
    <t>https://glp1sos.com</t>
  </si>
  <si>
    <t>MENLAB</t>
  </si>
  <si>
    <t>MenLab - Recuperá un aspecto firme y masculino.</t>
  </si>
  <si>
    <t>+19%</t>
  </si>
  <si>
    <t>AR, ES, CL</t>
  </si>
  <si>
    <t>https://menlabargentina.com</t>
  </si>
  <si>
    <t>blacklyte.eu</t>
  </si>
  <si>
    <t>Blacklyte Athena X Gaming Chair</t>
  </si>
  <si>
    <t>+26%</t>
  </si>
  <si>
    <t>2024-05</t>
  </si>
  <si>
    <t>DE, ES, NL</t>
  </si>
  <si>
    <t>https://blacklyte.eu</t>
  </si>
  <si>
    <t>SKULT</t>
  </si>
  <si>
    <t>Collagen Face Sculpt Wrap</t>
  </si>
  <si>
    <t>+11%</t>
  </si>
  <si>
    <t>2024-02</t>
  </si>
  <si>
    <t>US, ID, ES</t>
  </si>
  <si>
    <t>https://tryskult.com</t>
  </si>
  <si>
    <t>coziya</t>
  </si>
  <si>
    <t>Matelas gonflable Coziya</t>
  </si>
  <si>
    <t>+32%</t>
  </si>
  <si>
    <t>2022-01</t>
  </si>
  <si>
    <t>FR, ID, ES</t>
  </si>
  <si>
    <t>https://coziya-outdoor.com</t>
  </si>
  <si>
    <t>MadecaMD</t>
  </si>
  <si>
    <t>Koriderm Time Reverse Cream (All-In-One)</t>
  </si>
  <si>
    <t>+33%</t>
  </si>
  <si>
    <t>2025-05</t>
  </si>
  <si>
    <t>US, FR, GR</t>
  </si>
  <si>
    <t>https://koriderm.com</t>
  </si>
  <si>
    <t>SOLENA</t>
  </si>
  <si>
    <t>Aluna Crecimiento Óseo Natural</t>
  </si>
  <si>
    <t>+28%</t>
  </si>
  <si>
    <t>https://aluranow.com</t>
  </si>
  <si>
    <t>Purriq</t>
  </si>
  <si>
    <t>Purriq Natural Silvervine Dental Sticks</t>
  </si>
  <si>
    <t>+21%</t>
  </si>
  <si>
    <t>2025-08</t>
  </si>
  <si>
    <t>US, DE, ES</t>
  </si>
  <si>
    <t>https://purriq.com</t>
  </si>
  <si>
    <t>Onset</t>
  </si>
  <si>
    <t>Onset Urolithin A Gummies</t>
  </si>
  <si>
    <t>+176%</t>
  </si>
  <si>
    <t>2026-01</t>
  </si>
  <si>
    <t>US, AR, ZA</t>
  </si>
  <si>
    <t>https://tryonset.com</t>
  </si>
  <si>
    <t>Paw Guardian</t>
  </si>
  <si>
    <t>DENTACLEAN - Dogs/Cats</t>
  </si>
  <si>
    <t>+15%</t>
  </si>
  <si>
    <t>IE, US, CA</t>
  </si>
  <si>
    <t>https://paw-guardian.com</t>
  </si>
  <si>
    <t>Tal vez</t>
  </si>
  <si>
    <t>Gatsby Canvas</t>
  </si>
  <si>
    <t>Midnight Cities</t>
  </si>
  <si>
    <t>+30%</t>
  </si>
  <si>
    <t>2024-07</t>
  </si>
  <si>
    <t>US, ES</t>
  </si>
  <si>
    <t>https://gatsbycanvas.com</t>
  </si>
  <si>
    <t>Omen</t>
  </si>
  <si>
    <t>OMEN Serum anti-edad para Hombre</t>
  </si>
  <si>
    <t>2025-02</t>
  </si>
  <si>
    <t>AR</t>
  </si>
  <si>
    <t>https://omenskin.store</t>
  </si>
  <si>
    <t>Happyflops Norge</t>
  </si>
  <si>
    <t>HappyFlops Original</t>
  </si>
  <si>
    <t>+37%</t>
  </si>
  <si>
    <t>2022-08</t>
  </si>
  <si>
    <t>NO, BR, US</t>
  </si>
  <si>
    <t>https://happyflops.no</t>
  </si>
  <si>
    <t>Camp Snap Screen Free Digital Camera</t>
  </si>
  <si>
    <t>CS-8 Digital Video Camera</t>
  </si>
  <si>
    <t>+16%</t>
  </si>
  <si>
    <t>2024-06</t>
  </si>
  <si>
    <t>US, GB, CA</t>
  </si>
  <si>
    <t>https://campsnapphoto.com</t>
  </si>
  <si>
    <t>Ollie Colombia</t>
  </si>
  <si>
    <t>Protector Solar en Barra Con Color FPS 95</t>
  </si>
  <si>
    <t>+73%</t>
  </si>
  <si>
    <t>2023-11</t>
  </si>
  <si>
    <t>CO, ES, BR</t>
  </si>
  <si>
    <t>https://miollie.co</t>
  </si>
  <si>
    <t>BILLPILL</t>
  </si>
  <si>
    <t>BILLPILL  Recovery</t>
  </si>
  <si>
    <t>+75%</t>
  </si>
  <si>
    <t>2026-03</t>
  </si>
  <si>
    <t>DE, ES</t>
  </si>
  <si>
    <t>https://billpill.de</t>
  </si>
  <si>
    <t>Terra Lotus</t>
  </si>
  <si>
    <t>Organic Tallow Honey Balm</t>
  </si>
  <si>
    <t>+352%</t>
  </si>
  <si>
    <t>2024-03</t>
  </si>
  <si>
    <t>US, CO, BR</t>
  </si>
  <si>
    <t>https://terralotus.shop</t>
  </si>
  <si>
    <t>LEVIDE</t>
  </si>
  <si>
    <t>LEVIDE 4 in 1 Knee Therapy Device</t>
  </si>
  <si>
    <t>2024-10</t>
  </si>
  <si>
    <t>US, CA, ES</t>
  </si>
  <si>
    <t>https://levidecupp.com</t>
  </si>
  <si>
    <t>Ares Ring</t>
  </si>
  <si>
    <t>Ares Magnetic Ring</t>
  </si>
  <si>
    <t>+43%</t>
  </si>
  <si>
    <t>MX, AU</t>
  </si>
  <si>
    <t>https://ares-ring.com</t>
  </si>
  <si>
    <t>Cannadips</t>
  </si>
  <si>
    <t>Cannadips 5X CBD</t>
  </si>
  <si>
    <t>+53%</t>
  </si>
  <si>
    <t>US, ES, IN</t>
  </si>
  <si>
    <t>https://cannadips.com</t>
  </si>
  <si>
    <t>Gift Your Melody</t>
  </si>
  <si>
    <t>CREATE YOUR MELODY</t>
  </si>
  <si>
    <t>+162%</t>
  </si>
  <si>
    <t>2024-09</t>
  </si>
  <si>
    <t>US, FR, DE</t>
  </si>
  <si>
    <t>https://giftyourmelody.com</t>
  </si>
  <si>
    <t>Cellu</t>
  </si>
  <si>
    <t>Deep Firming Body Cream</t>
  </si>
  <si>
    <t>+18%</t>
  </si>
  <si>
    <t>2024-08</t>
  </si>
  <si>
    <t>TH, AR, BR</t>
  </si>
  <si>
    <t>https://getcellu.com</t>
  </si>
  <si>
    <t>Erodus</t>
  </si>
  <si>
    <t>ERODUS FORMULA</t>
  </si>
  <si>
    <t>+71%</t>
  </si>
  <si>
    <t>US, BR, CO</t>
  </si>
  <si>
    <t>https://drinkerodus.com</t>
  </si>
  <si>
    <t>Shiny Wipes</t>
  </si>
  <si>
    <t>Package Insurance</t>
  </si>
  <si>
    <t>+42%</t>
  </si>
  <si>
    <t>2023-05</t>
  </si>
  <si>
    <t>US, AU, IT</t>
  </si>
  <si>
    <t>https://shiny-wipes.com</t>
  </si>
  <si>
    <t>Lirae</t>
  </si>
  <si>
    <t>Ceylon Cinnamon 7200mg Equivalent with MCT Oil</t>
  </si>
  <si>
    <t>+80%</t>
  </si>
  <si>
    <t>US, TH, NO</t>
  </si>
  <si>
    <t>https://getlirae.com</t>
  </si>
  <si>
    <t>Magnetic</t>
  </si>
  <si>
    <t>Perfume Con Feromonas</t>
  </si>
  <si>
    <t>MX, CO</t>
  </si>
  <si>
    <t>https://feelmagnetic.co</t>
  </si>
  <si>
    <t>SPNutrition</t>
  </si>
  <si>
    <t>SPNutrition Magnesium Bisglycinate Gummies</t>
  </si>
  <si>
    <t>+69%</t>
  </si>
  <si>
    <t>US, GB, BR</t>
  </si>
  <si>
    <t>https://spnutrition-us.com</t>
  </si>
  <si>
    <t>OVR Performance</t>
  </si>
  <si>
    <t>Backpack</t>
  </si>
  <si>
    <t>+12%</t>
  </si>
  <si>
    <t>2023-08</t>
  </si>
  <si>
    <t>US, CA, AU</t>
  </si>
  <si>
    <t>https://ovrperformance.com</t>
  </si>
  <si>
    <t>Curviva</t>
  </si>
  <si>
    <t>Pezoneras Círculos sin Adhesivo</t>
  </si>
  <si>
    <t>+93%</t>
  </si>
  <si>
    <t>ES, FR</t>
  </si>
  <si>
    <t>https://curviva.es</t>
  </si>
  <si>
    <t>Vortek</t>
  </si>
  <si>
    <t>SwingEase Pro</t>
  </si>
  <si>
    <t>2025-10</t>
  </si>
  <si>
    <t>ES, CL</t>
  </si>
  <si>
    <t>https://getvortek.com</t>
  </si>
  <si>
    <t>Petwellness</t>
  </si>
  <si>
    <t>2x Diffuseurs + 4 Recharges</t>
  </si>
  <si>
    <t>DE, FR, CH</t>
  </si>
  <si>
    <t>Electrónico</t>
  </si>
  <si>
    <t>SEC (220V/batería)</t>
  </si>
  <si>
    <t>https://trypetwellness.com</t>
  </si>
  <si>
    <t>Ramp Health</t>
  </si>
  <si>
    <t>Outty | Social Boost | 15 Count</t>
  </si>
  <si>
    <t>+138%</t>
  </si>
  <si>
    <t>US, IN, DE</t>
  </si>
  <si>
    <t>https://theoutgoing.co</t>
  </si>
  <si>
    <t>Mail Order Mystery</t>
  </si>
  <si>
    <t>Treasure Hunt!</t>
  </si>
  <si>
    <t>+46%</t>
  </si>
  <si>
    <t>2015-10</t>
  </si>
  <si>
    <t>US, CA, VE</t>
  </si>
  <si>
    <t>https://mailordermystery.com</t>
  </si>
  <si>
    <t>MININE</t>
  </si>
  <si>
    <t>Voluminizador de Labios</t>
  </si>
  <si>
    <t>+31%</t>
  </si>
  <si>
    <t>https://minine.co</t>
  </si>
  <si>
    <t>Taller Lorca</t>
  </si>
  <si>
    <t>Lorca Wallet 2.0</t>
  </si>
  <si>
    <t>+155%</t>
  </si>
  <si>
    <t>https://tallerlorca.com</t>
  </si>
  <si>
    <t>nuvel</t>
  </si>
  <si>
    <t>Vitamin-B Complex</t>
  </si>
  <si>
    <t>+52%</t>
  </si>
  <si>
    <t>DE, US, AU</t>
  </si>
  <si>
    <t>https://trynuvel.com</t>
  </si>
  <si>
    <t>Greenlight</t>
  </si>
  <si>
    <t>Greenlight Safe Kids - GPS tracker</t>
  </si>
  <si>
    <t>https://shop.greenlight.com</t>
  </si>
  <si>
    <t>Fridge Friend</t>
  </si>
  <si>
    <t>+158%</t>
  </si>
  <si>
    <t>AU, US, GB</t>
  </si>
  <si>
    <t>https://fridgefriend.com</t>
  </si>
  <si>
    <t>Nivio</t>
  </si>
  <si>
    <t>AireMax+ Nasal</t>
  </si>
  <si>
    <t>2025-07</t>
  </si>
  <si>
    <t>https://trynivio.com</t>
  </si>
  <si>
    <t>LitterZero.</t>
  </si>
  <si>
    <t>Litter Zero Starter Kit</t>
  </si>
  <si>
    <t>https://litterzero.com</t>
  </si>
  <si>
    <t>Revoget</t>
  </si>
  <si>
    <t>Revoget Alignment Pillow</t>
  </si>
  <si>
    <t>2024-01</t>
  </si>
  <si>
    <t>US, AR, ES</t>
  </si>
  <si>
    <t>https://revoget.com</t>
  </si>
  <si>
    <t>Derila</t>
  </si>
  <si>
    <t>Derila Ergo Neck Support Pillow</t>
  </si>
  <si>
    <t>https://derilashop.com</t>
  </si>
  <si>
    <t>AQUALO</t>
  </si>
  <si>
    <t>AQUALO Shampoo Anticaída y Crecimiento</t>
  </si>
  <si>
    <t>+54%</t>
  </si>
  <si>
    <t>https://aqualoar.myshopify.com</t>
  </si>
  <si>
    <t>https://aqualoar.com</t>
  </si>
  <si>
    <t>Zenith Philippines</t>
  </si>
  <si>
    <t>Zenith Anti-Aging Tallow Cream</t>
  </si>
  <si>
    <t>+22%</t>
  </si>
  <si>
    <t>2024-12</t>
  </si>
  <si>
    <t>PH, ID, ES</t>
  </si>
  <si>
    <t>https://tryzenith.ph</t>
  </si>
  <si>
    <t>Dæly</t>
  </si>
  <si>
    <t>Dæly Calendar</t>
  </si>
  <si>
    <t>DE, AT, CH</t>
  </si>
  <si>
    <t>https://daely-shop.com</t>
  </si>
  <si>
    <t>Nütrops</t>
  </si>
  <si>
    <t>Nütrops Daily Gummies</t>
  </si>
  <si>
    <t>2024-11</t>
  </si>
  <si>
    <t>US, MX, GB</t>
  </si>
  <si>
    <t>https://nutrops.co</t>
  </si>
  <si>
    <t>DoggySpout</t>
  </si>
  <si>
    <t>The DoggySpout - Wireless Fountain</t>
  </si>
  <si>
    <t>+97%</t>
  </si>
  <si>
    <t>https://doggyspout.com</t>
  </si>
  <si>
    <t>Zabon</t>
  </si>
  <si>
    <t>Kit de Inicio Multiuso + aroma limitado GRATIS</t>
  </si>
  <si>
    <t>https://zabon.es</t>
  </si>
  <si>
    <t>Expect Car Care</t>
  </si>
  <si>
    <t>Pulloff Drying Towel</t>
  </si>
  <si>
    <t>2021-01</t>
  </si>
  <si>
    <t>AU, US, DE</t>
  </si>
  <si>
    <t>https://expectcarcare.com</t>
  </si>
  <si>
    <t>V-gummies</t>
  </si>
  <si>
    <t>V-Gummies | Gominolas Vinagre de Manzana</t>
  </si>
  <si>
    <t>+99%</t>
  </si>
  <si>
    <t>https://v-gummies.com</t>
  </si>
  <si>
    <t>Magnesleep</t>
  </si>
  <si>
    <t>Magnesleep - Cápsulas de Magnesio Bisglicinato para Sueño Profundo.</t>
  </si>
  <si>
    <t>+295%</t>
  </si>
  <si>
    <t>2026-05</t>
  </si>
  <si>
    <t>https://magnesleepargentina.online</t>
  </si>
  <si>
    <t>Forte Max</t>
  </si>
  <si>
    <t>Complejo de Magnesio 12 en 1 Forte Max</t>
  </si>
  <si>
    <t>2026-04</t>
  </si>
  <si>
    <t>https://fortemaxarg.com</t>
  </si>
  <si>
    <t>Freska</t>
  </si>
  <si>
    <t>Freska | Suplemento desodorante natural</t>
  </si>
  <si>
    <t>MX</t>
  </si>
  <si>
    <t>https://freskaargentina.com</t>
  </si>
  <si>
    <t>Sovexa Lab</t>
  </si>
  <si>
    <t>Ebook El Método de 21 Días para una Circulación Imparable</t>
  </si>
  <si>
    <t>+136%</t>
  </si>
  <si>
    <t>MX, US, CL</t>
  </si>
  <si>
    <t>https://sovexa-lab.com</t>
  </si>
  <si>
    <t>Forte Max Argentina</t>
  </si>
  <si>
    <t>+92%</t>
  </si>
  <si>
    <t>https://fortemaxoficial.com</t>
  </si>
  <si>
    <t>Encivital</t>
  </si>
  <si>
    <t>Encivital Polvo de Colágeno para Encías</t>
  </si>
  <si>
    <t>https://encivital.com</t>
  </si>
  <si>
    <t>Lipo Argentina</t>
  </si>
  <si>
    <t>LIPO – Recuperá tu figura y energía</t>
  </si>
  <si>
    <t>+94%</t>
  </si>
  <si>
    <t>https://lipoglpargentina.com</t>
  </si>
  <si>
    <t>Olmo Tienda Saludable</t>
  </si>
  <si>
    <t>ILÍVIT DEPURADOR NATURAL</t>
  </si>
  <si>
    <t>-1%</t>
  </si>
  <si>
    <t>CO</t>
  </si>
  <si>
    <t>https://olmotiendasaludable.com</t>
  </si>
  <si>
    <t>BoltHero</t>
  </si>
  <si>
    <t>BOLTHERO - Reach The Bolts Your Ratchet Can't</t>
  </si>
  <si>
    <t>ID, ES</t>
  </si>
  <si>
    <t>https://getbolthero.com</t>
  </si>
  <si>
    <t>Maria Maia Beauty</t>
  </si>
  <si>
    <t>Pre-sale: EUROPEAN SUMMER - Eau de Parfum</t>
  </si>
  <si>
    <t>PT, US, ES</t>
  </si>
  <si>
    <t>https://mariamaiabeauty.com</t>
  </si>
  <si>
    <t>VÉLIA ARGENTINA</t>
  </si>
  <si>
    <t>VÉLIA – Base Antiedad 4 en 1 Para Piel Madura</t>
  </si>
  <si>
    <t>+64%</t>
  </si>
  <si>
    <t>https://velia-argentina.com</t>
  </si>
  <si>
    <t>Organic Pet</t>
  </si>
  <si>
    <t>Kit Organic Love (Bálsamo + Jabón de recuperación + Protector humectante + Spray Anti picazón)</t>
  </si>
  <si>
    <t>+63%</t>
  </si>
  <si>
    <t>https://balsamocurativo.com</t>
  </si>
  <si>
    <t>Nature+ Americas</t>
  </si>
  <si>
    <t>Nature+ Personal</t>
  </si>
  <si>
    <t>+90%</t>
  </si>
  <si>
    <t>2021-09</t>
  </si>
  <si>
    <t>US, CA, CO</t>
  </si>
  <si>
    <t>https://shop-amers.nature.com</t>
  </si>
  <si>
    <t>Tala</t>
  </si>
  <si>
    <t>Bálsamo Anti-Age 100% Natural</t>
  </si>
  <si>
    <t>https://talaorganicos.com</t>
  </si>
  <si>
    <t>All Cars ES</t>
  </si>
  <si>
    <t>El magic pen | All Cars</t>
  </si>
  <si>
    <t>+1528%</t>
  </si>
  <si>
    <t>https://allcarsfix-es.com</t>
  </si>
  <si>
    <t>Luna Roof</t>
  </si>
  <si>
    <t>Luna MaxFlex flashing</t>
  </si>
  <si>
    <t>US, AU, ES</t>
  </si>
  <si>
    <t>https://luna-roof.com</t>
  </si>
  <si>
    <t>Tove Lo</t>
  </si>
  <si>
    <t>Veniam cillum Lorem</t>
  </si>
  <si>
    <t>US, GB, MX</t>
  </si>
  <si>
    <t>https://tove-lo.com</t>
  </si>
  <si>
    <t>Cositas Deliciosas</t>
  </si>
  <si>
    <t>kit esencial</t>
  </si>
  <si>
    <t>+50%</t>
  </si>
  <si>
    <t>https://cositasdeliciosas.mx</t>
  </si>
  <si>
    <t>Vitalisse World</t>
  </si>
  <si>
    <t>Metodo Oro Negro</t>
  </si>
  <si>
    <t>CL, MX, BR</t>
  </si>
  <si>
    <t>https://vitalisseworld.com</t>
  </si>
  <si>
    <t>Aelia</t>
  </si>
  <si>
    <t>Aélia - Fórmula para Riñones y Drenaje Linfático Renal</t>
  </si>
  <si>
    <t>+44%</t>
  </si>
  <si>
    <t>CL</t>
  </si>
  <si>
    <t>https://tryaelia.com</t>
  </si>
  <si>
    <t>Solvera</t>
  </si>
  <si>
    <t>Jabón antimicótico Solvera Anti Tiña Inguinal - Formula natural antifúngica.</t>
  </si>
  <si>
    <t>+407%</t>
  </si>
  <si>
    <t>https://solveraargentina.com</t>
  </si>
  <si>
    <t>Gracie Abrams</t>
  </si>
  <si>
    <t>Daughter From Hell - CD</t>
  </si>
  <si>
    <t>ES, PT, CH</t>
  </si>
  <si>
    <t>https://shopes.gracieabrams.com</t>
  </si>
  <si>
    <t>Luneria.</t>
  </si>
  <si>
    <t>Luneria</t>
  </si>
  <si>
    <t>https://luneriaargentina.com</t>
  </si>
  <si>
    <t>Alejandra Gómez</t>
  </si>
  <si>
    <t>Stilettos</t>
  </si>
  <si>
    <t>+8%</t>
  </si>
  <si>
    <t>https://byalejandragomez.com</t>
  </si>
  <si>
    <t>casabuteco.com</t>
  </si>
  <si>
    <t>Manija P/Baño Anti Caídas Buteco - Agarre Seguro y Firme</t>
  </si>
  <si>
    <t>+61%</t>
  </si>
  <si>
    <t>https://casabuteco.com</t>
  </si>
  <si>
    <t>Suavelia</t>
  </si>
  <si>
    <t>Suava Brush- Cepillo para cabello corto</t>
  </si>
  <si>
    <t>2026-02</t>
  </si>
  <si>
    <t>https://suavelia.com</t>
  </si>
  <si>
    <t>Velmont Deluxe</t>
  </si>
  <si>
    <t>GAFAS VENUS - PHOTOCHROMIC</t>
  </si>
  <si>
    <t>https://velmontdeluxe.com</t>
  </si>
  <si>
    <t>SKiNOLOGY</t>
  </si>
  <si>
    <t>Aftershave: cremas para Después de Afeitarse: Calma tu Rostro - SKiNOLOGY</t>
  </si>
  <si>
    <t>2023-12</t>
  </si>
  <si>
    <t>https://skinology.cl</t>
  </si>
  <si>
    <t>Cacao Andino</t>
  </si>
  <si>
    <t>Cacao en Polvo 100% Sin Alcalinizar</t>
  </si>
  <si>
    <t>https://cacaoandino.cl</t>
  </si>
  <si>
    <t>Vendzon MX</t>
  </si>
  <si>
    <t>Lavadora a Presión Portátil Combo Completo [+ Maleta] - HidroJet Pro</t>
  </si>
  <si>
    <t>-13%</t>
  </si>
  <si>
    <t>https://vendzon.com</t>
  </si>
  <si>
    <t>Magic Molecule</t>
  </si>
  <si>
    <t>Daily Skin Spray</t>
  </si>
  <si>
    <t>+45%</t>
  </si>
  <si>
    <t>US, CA, DE</t>
  </si>
  <si>
    <t>https://magicmolecule.com</t>
  </si>
  <si>
    <t>Podoks</t>
  </si>
  <si>
    <t>Calcetín Confort</t>
  </si>
  <si>
    <t>+51%</t>
  </si>
  <si>
    <t>https://podoks.com</t>
  </si>
  <si>
    <t>NCB</t>
  </si>
  <si>
    <t>CLASES PARTICULARES DE INTERPRETACIÓN DE ANALÍTICAS</t>
  </si>
  <si>
    <t>https://nutricioncientificabarcelona.com</t>
  </si>
  <si>
    <t>Apolo Cosmetics</t>
  </si>
  <si>
    <t>Bálsamo para Crecimiento de Barba Ultra Potente con Minoxidil 20% | 100mL</t>
  </si>
  <si>
    <t>+114%</t>
  </si>
  <si>
    <t>CO, PE, MX</t>
  </si>
  <si>
    <t>https://apolocosmetics.com</t>
  </si>
  <si>
    <t>Clean Nails | Como Curar Los Hongos de las Uñas</t>
  </si>
  <si>
    <t>Clean Nail y Obsequio Valido ✅</t>
  </si>
  <si>
    <t>0%</t>
  </si>
  <si>
    <t>2023-09</t>
  </si>
  <si>
    <t>https://cleannail.co</t>
  </si>
  <si>
    <t>Binifadet</t>
  </si>
  <si>
    <t>MERLUZO BLANCO</t>
  </si>
  <si>
    <t>GB, ES</t>
  </si>
  <si>
    <t>https://binifadet.com</t>
  </si>
  <si>
    <t>Jaqi Shop</t>
  </si>
  <si>
    <t>Brazalete Feng Shui Pixiu de la Fortuna</t>
  </si>
  <si>
    <t>-17%</t>
  </si>
  <si>
    <t>PE</t>
  </si>
  <si>
    <t>https://jaqishop.com</t>
  </si>
  <si>
    <t>Blau</t>
  </si>
  <si>
    <t>Bauhaus I バウハウス T-shirt white</t>
  </si>
  <si>
    <t>+79%</t>
  </si>
  <si>
    <t>US, AU, CO</t>
  </si>
  <si>
    <t>https://blauatelier.com</t>
  </si>
  <si>
    <t>Pawira</t>
  </si>
  <si>
    <t>Pawira 8pcs Filter Refill Pack (4 months)</t>
  </si>
  <si>
    <t>+471%</t>
  </si>
  <si>
    <t>US, CA, UA</t>
  </si>
  <si>
    <t>https://pawira.com</t>
  </si>
  <si>
    <t>Mylky</t>
  </si>
  <si>
    <t>DE, AT, MX</t>
  </si>
  <si>
    <t>https://mylky.de</t>
  </si>
  <si>
    <t>Mama Bear Oasis</t>
  </si>
  <si>
    <t>Mama Bear Nerve Relief Lotion</t>
  </si>
  <si>
    <t>+4%</t>
  </si>
  <si>
    <t>US, ID, CO</t>
  </si>
  <si>
    <t>https://mamabearoasis.com</t>
  </si>
  <si>
    <t>SoFyre</t>
  </si>
  <si>
    <t>Rodent Repellent Pouches</t>
  </si>
  <si>
    <t>+103%</t>
  </si>
  <si>
    <t>US, CA, SE</t>
  </si>
  <si>
    <t>Gadget / Hogar</t>
  </si>
  <si>
    <t>Revisar (repelente→SAG/ISP)</t>
  </si>
  <si>
    <t>https://sofyre.com</t>
  </si>
  <si>
    <t>Revenue estimado = Visitas/mes × 3% × Precio SKU principal (AOV). Estimación gruesa (tráfico aprox. SimilarWeb; 3% editable en la fórmula). s/d = TrendTrack sin dato de tráfico/precio.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</si>
</sst>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375623"/>
      <name val="Arial"/>
    </font>
    <font>
      <u/>
      <sz val="10"/>
      <color rgb="FF0563C1"/>
      <name val="Arial"/>
    </font>
    <font>
      <b/>
      <sz val="10"/>
      <color rgb="FFFFFFFF"/>
      <name val="Arial"/>
    </font>
    <font>
      <b/>
      <sz val="10"/>
      <name val="Arial"/>
    </font>
    <font>
      <i/>
      <sz val="9"/>
      <color rgb="FF808080"/>
      <name val="Arial"/>
    </font>
    <font>
      <u/>
      <sz val="11"/>
      <color theme="10"/>
      <name val="Calibri"/>
      <family val="2"/>
      <scheme val="minor"/>
    </font>
    <font>
      <u/>
      <sz val="10"/>
      <color rgb="FF0563C1"/>
      <name val="Arial"/>
    </font>
    <font>
      <b/>
      <sz val="10"/>
      <color rgb="FF375623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C6E0B4"/>
      </patternFill>
    </fill>
    <fill>
      <patternFill patternType="solid">
        <fgColor rgb="FFE2EFDA"/>
      </patternFill>
    </fill>
    <fill>
      <patternFill patternType="solid">
        <fgColor rgb="FFC6E0B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/>
    <xf numFmtId="0" fontId="0" fillId="4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/>
    </xf>
    <xf numFmtId="164" fontId="6" fillId="7" borderId="2" xfId="0" applyNumberFormat="1" applyFont="1" applyFill="1" applyBorder="1" applyAlignment="1">
      <alignment horizontal="center"/>
    </xf>
    <xf numFmtId="0" fontId="7" fillId="0" borderId="0" xfId="0" applyFont="1"/>
    <xf numFmtId="0" fontId="8" fillId="0" borderId="1" xfId="1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center" vertical="center"/>
    </xf>
    <xf numFmtId="164" fontId="6" fillId="9" borderId="3" xfId="0" applyNumberFormat="1" applyFont="1" applyFill="1" applyBorder="1" applyAlignment="1">
      <alignment horizontal="center" vertical="center"/>
    </xf>
    <xf numFmtId="0" fontId="8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videcupp.com/" TargetMode="External"/><Relationship Id="rId21" Type="http://schemas.openxmlformats.org/officeDocument/2006/relationships/hyperlink" Target="https://happyflops.no/" TargetMode="External"/><Relationship Id="rId42" Type="http://schemas.openxmlformats.org/officeDocument/2006/relationships/hyperlink" Target="https://minine.co/" TargetMode="External"/><Relationship Id="rId47" Type="http://schemas.openxmlformats.org/officeDocument/2006/relationships/hyperlink" Target="https://trynivio.com/" TargetMode="External"/><Relationship Id="rId63" Type="http://schemas.openxmlformats.org/officeDocument/2006/relationships/hyperlink" Target="https://sovexa-lab.com/" TargetMode="External"/><Relationship Id="rId68" Type="http://schemas.openxmlformats.org/officeDocument/2006/relationships/hyperlink" Target="https://getbolthero.com/" TargetMode="External"/><Relationship Id="rId84" Type="http://schemas.openxmlformats.org/officeDocument/2006/relationships/hyperlink" Target="https://casabuteco.com/" TargetMode="External"/><Relationship Id="rId89" Type="http://schemas.openxmlformats.org/officeDocument/2006/relationships/hyperlink" Target="https://vendzon.com/" TargetMode="External"/><Relationship Id="rId16" Type="http://schemas.openxmlformats.org/officeDocument/2006/relationships/hyperlink" Target="https://purriq.com/" TargetMode="External"/><Relationship Id="rId11" Type="http://schemas.openxmlformats.org/officeDocument/2006/relationships/hyperlink" Target="https://blacklyte.eu/" TargetMode="External"/><Relationship Id="rId32" Type="http://schemas.openxmlformats.org/officeDocument/2006/relationships/hyperlink" Target="https://shiny-wipes.com/" TargetMode="External"/><Relationship Id="rId37" Type="http://schemas.openxmlformats.org/officeDocument/2006/relationships/hyperlink" Target="https://curviva.es/" TargetMode="External"/><Relationship Id="rId53" Type="http://schemas.openxmlformats.org/officeDocument/2006/relationships/hyperlink" Target="https://tryzenith.ph/" TargetMode="External"/><Relationship Id="rId58" Type="http://schemas.openxmlformats.org/officeDocument/2006/relationships/hyperlink" Target="https://expectcarcare.com/" TargetMode="External"/><Relationship Id="rId74" Type="http://schemas.openxmlformats.org/officeDocument/2006/relationships/hyperlink" Target="https://allcarsfix-es.com/" TargetMode="External"/><Relationship Id="rId79" Type="http://schemas.openxmlformats.org/officeDocument/2006/relationships/hyperlink" Target="https://tryaelia.com/" TargetMode="External"/><Relationship Id="rId5" Type="http://schemas.openxmlformats.org/officeDocument/2006/relationships/hyperlink" Target="https://ecloura.com/" TargetMode="External"/><Relationship Id="rId90" Type="http://schemas.openxmlformats.org/officeDocument/2006/relationships/hyperlink" Target="https://magicmolecule.com/" TargetMode="External"/><Relationship Id="rId95" Type="http://schemas.openxmlformats.org/officeDocument/2006/relationships/hyperlink" Target="https://binifadet.com/" TargetMode="External"/><Relationship Id="rId22" Type="http://schemas.openxmlformats.org/officeDocument/2006/relationships/hyperlink" Target="https://campsnapphoto.com/" TargetMode="External"/><Relationship Id="rId27" Type="http://schemas.openxmlformats.org/officeDocument/2006/relationships/hyperlink" Target="https://ares-ring.com/" TargetMode="External"/><Relationship Id="rId43" Type="http://schemas.openxmlformats.org/officeDocument/2006/relationships/hyperlink" Target="https://tallerlorca.com/" TargetMode="External"/><Relationship Id="rId48" Type="http://schemas.openxmlformats.org/officeDocument/2006/relationships/hyperlink" Target="https://litterzero.com/" TargetMode="External"/><Relationship Id="rId64" Type="http://schemas.openxmlformats.org/officeDocument/2006/relationships/hyperlink" Target="https://fortemaxoficial.com/" TargetMode="External"/><Relationship Id="rId69" Type="http://schemas.openxmlformats.org/officeDocument/2006/relationships/hyperlink" Target="https://mariamaiabeauty.com/" TargetMode="External"/><Relationship Id="rId80" Type="http://schemas.openxmlformats.org/officeDocument/2006/relationships/hyperlink" Target="https://solveraargentina.com/" TargetMode="External"/><Relationship Id="rId85" Type="http://schemas.openxmlformats.org/officeDocument/2006/relationships/hyperlink" Target="https://suavelia.com/" TargetMode="External"/><Relationship Id="rId12" Type="http://schemas.openxmlformats.org/officeDocument/2006/relationships/hyperlink" Target="https://tryskult.com/" TargetMode="External"/><Relationship Id="rId17" Type="http://schemas.openxmlformats.org/officeDocument/2006/relationships/hyperlink" Target="https://tryonset.com/" TargetMode="External"/><Relationship Id="rId25" Type="http://schemas.openxmlformats.org/officeDocument/2006/relationships/hyperlink" Target="https://terralotus.shop/" TargetMode="External"/><Relationship Id="rId33" Type="http://schemas.openxmlformats.org/officeDocument/2006/relationships/hyperlink" Target="https://getlirae.com/" TargetMode="External"/><Relationship Id="rId38" Type="http://schemas.openxmlformats.org/officeDocument/2006/relationships/hyperlink" Target="https://getvortek.com/" TargetMode="External"/><Relationship Id="rId46" Type="http://schemas.openxmlformats.org/officeDocument/2006/relationships/hyperlink" Target="https://fridgefriend.com/" TargetMode="External"/><Relationship Id="rId59" Type="http://schemas.openxmlformats.org/officeDocument/2006/relationships/hyperlink" Target="https://v-gummies.com/" TargetMode="External"/><Relationship Id="rId67" Type="http://schemas.openxmlformats.org/officeDocument/2006/relationships/hyperlink" Target="https://olmotiendasaludable.com/" TargetMode="External"/><Relationship Id="rId20" Type="http://schemas.openxmlformats.org/officeDocument/2006/relationships/hyperlink" Target="https://omenskin.store/" TargetMode="External"/><Relationship Id="rId41" Type="http://schemas.openxmlformats.org/officeDocument/2006/relationships/hyperlink" Target="https://mailordermystery.com/" TargetMode="External"/><Relationship Id="rId54" Type="http://schemas.openxmlformats.org/officeDocument/2006/relationships/hyperlink" Target="https://daely-shop.com/" TargetMode="External"/><Relationship Id="rId62" Type="http://schemas.openxmlformats.org/officeDocument/2006/relationships/hyperlink" Target="https://freskaargentina.com/" TargetMode="External"/><Relationship Id="rId70" Type="http://schemas.openxmlformats.org/officeDocument/2006/relationships/hyperlink" Target="https://velia-argentina.com/" TargetMode="External"/><Relationship Id="rId75" Type="http://schemas.openxmlformats.org/officeDocument/2006/relationships/hyperlink" Target="https://luna-roof.com/" TargetMode="External"/><Relationship Id="rId83" Type="http://schemas.openxmlformats.org/officeDocument/2006/relationships/hyperlink" Target="https://byalejandragomez.com/" TargetMode="External"/><Relationship Id="rId88" Type="http://schemas.openxmlformats.org/officeDocument/2006/relationships/hyperlink" Target="https://cacaoandino.cl/" TargetMode="External"/><Relationship Id="rId91" Type="http://schemas.openxmlformats.org/officeDocument/2006/relationships/hyperlink" Target="https://podoks.com/" TargetMode="External"/><Relationship Id="rId96" Type="http://schemas.openxmlformats.org/officeDocument/2006/relationships/hyperlink" Target="https://jaqishop.com/" TargetMode="External"/><Relationship Id="rId1" Type="http://schemas.openxmlformats.org/officeDocument/2006/relationships/hyperlink" Target="https://zimadental.nl/" TargetMode="External"/><Relationship Id="rId6" Type="http://schemas.openxmlformats.org/officeDocument/2006/relationships/hyperlink" Target="https://bodyandus.com/" TargetMode="External"/><Relationship Id="rId15" Type="http://schemas.openxmlformats.org/officeDocument/2006/relationships/hyperlink" Target="https://aluranow.com/" TargetMode="External"/><Relationship Id="rId23" Type="http://schemas.openxmlformats.org/officeDocument/2006/relationships/hyperlink" Target="https://miollie.co/" TargetMode="External"/><Relationship Id="rId28" Type="http://schemas.openxmlformats.org/officeDocument/2006/relationships/hyperlink" Target="https://cannadips.com/" TargetMode="External"/><Relationship Id="rId36" Type="http://schemas.openxmlformats.org/officeDocument/2006/relationships/hyperlink" Target="https://ovrperformance.com/" TargetMode="External"/><Relationship Id="rId49" Type="http://schemas.openxmlformats.org/officeDocument/2006/relationships/hyperlink" Target="https://revoget.com/" TargetMode="External"/><Relationship Id="rId57" Type="http://schemas.openxmlformats.org/officeDocument/2006/relationships/hyperlink" Target="https://zabon.es/" TargetMode="External"/><Relationship Id="rId10" Type="http://schemas.openxmlformats.org/officeDocument/2006/relationships/hyperlink" Target="https://menlabargentina.com/" TargetMode="External"/><Relationship Id="rId31" Type="http://schemas.openxmlformats.org/officeDocument/2006/relationships/hyperlink" Target="https://drinkerodus.com/" TargetMode="External"/><Relationship Id="rId44" Type="http://schemas.openxmlformats.org/officeDocument/2006/relationships/hyperlink" Target="https://trynuvel.com/" TargetMode="External"/><Relationship Id="rId52" Type="http://schemas.openxmlformats.org/officeDocument/2006/relationships/hyperlink" Target="https://aqualoar.com/" TargetMode="External"/><Relationship Id="rId60" Type="http://schemas.openxmlformats.org/officeDocument/2006/relationships/hyperlink" Target="https://magnesleepargentina.online/" TargetMode="External"/><Relationship Id="rId65" Type="http://schemas.openxmlformats.org/officeDocument/2006/relationships/hyperlink" Target="https://encivital.com/" TargetMode="External"/><Relationship Id="rId73" Type="http://schemas.openxmlformats.org/officeDocument/2006/relationships/hyperlink" Target="https://talaorganicos.com/" TargetMode="External"/><Relationship Id="rId78" Type="http://schemas.openxmlformats.org/officeDocument/2006/relationships/hyperlink" Target="https://vitalisseworld.com/" TargetMode="External"/><Relationship Id="rId81" Type="http://schemas.openxmlformats.org/officeDocument/2006/relationships/hyperlink" Target="https://shopes.gracieabrams.com/" TargetMode="External"/><Relationship Id="rId86" Type="http://schemas.openxmlformats.org/officeDocument/2006/relationships/hyperlink" Target="https://velmontdeluxe.com/" TargetMode="External"/><Relationship Id="rId94" Type="http://schemas.openxmlformats.org/officeDocument/2006/relationships/hyperlink" Target="https://cleannail.co/" TargetMode="External"/><Relationship Id="rId99" Type="http://schemas.openxmlformats.org/officeDocument/2006/relationships/hyperlink" Target="https://mylky.de/" TargetMode="External"/><Relationship Id="rId101" Type="http://schemas.openxmlformats.org/officeDocument/2006/relationships/hyperlink" Target="https://sofyre.com/" TargetMode="External"/><Relationship Id="rId4" Type="http://schemas.openxmlformats.org/officeDocument/2006/relationships/hyperlink" Target="https://magneva.co/" TargetMode="External"/><Relationship Id="rId9" Type="http://schemas.openxmlformats.org/officeDocument/2006/relationships/hyperlink" Target="https://glp1sos.com/" TargetMode="External"/><Relationship Id="rId13" Type="http://schemas.openxmlformats.org/officeDocument/2006/relationships/hyperlink" Target="https://coziya-outdoor.com/" TargetMode="External"/><Relationship Id="rId18" Type="http://schemas.openxmlformats.org/officeDocument/2006/relationships/hyperlink" Target="https://paw-guardian.com/" TargetMode="External"/><Relationship Id="rId39" Type="http://schemas.openxmlformats.org/officeDocument/2006/relationships/hyperlink" Target="https://trypetwellness.com/" TargetMode="External"/><Relationship Id="rId34" Type="http://schemas.openxmlformats.org/officeDocument/2006/relationships/hyperlink" Target="https://feelmagnetic.co/" TargetMode="External"/><Relationship Id="rId50" Type="http://schemas.openxmlformats.org/officeDocument/2006/relationships/hyperlink" Target="https://derilashop.com/" TargetMode="External"/><Relationship Id="rId55" Type="http://schemas.openxmlformats.org/officeDocument/2006/relationships/hyperlink" Target="https://nutrops.co/" TargetMode="External"/><Relationship Id="rId76" Type="http://schemas.openxmlformats.org/officeDocument/2006/relationships/hyperlink" Target="https://tove-lo.com/" TargetMode="External"/><Relationship Id="rId97" Type="http://schemas.openxmlformats.org/officeDocument/2006/relationships/hyperlink" Target="https://blauatelier.com/" TargetMode="External"/><Relationship Id="rId7" Type="http://schemas.openxmlformats.org/officeDocument/2006/relationships/hyperlink" Target="https://pluune.com/" TargetMode="External"/><Relationship Id="rId71" Type="http://schemas.openxmlformats.org/officeDocument/2006/relationships/hyperlink" Target="https://balsamocurativo.com/" TargetMode="External"/><Relationship Id="rId92" Type="http://schemas.openxmlformats.org/officeDocument/2006/relationships/hyperlink" Target="https://nutricioncientificabarcelona.com/" TargetMode="External"/><Relationship Id="rId2" Type="http://schemas.openxmlformats.org/officeDocument/2006/relationships/hyperlink" Target="https://biorootlabs.com/" TargetMode="External"/><Relationship Id="rId29" Type="http://schemas.openxmlformats.org/officeDocument/2006/relationships/hyperlink" Target="https://giftyourmelody.com/" TargetMode="External"/><Relationship Id="rId24" Type="http://schemas.openxmlformats.org/officeDocument/2006/relationships/hyperlink" Target="https://billpill.de/" TargetMode="External"/><Relationship Id="rId40" Type="http://schemas.openxmlformats.org/officeDocument/2006/relationships/hyperlink" Target="https://theoutgoing.co/" TargetMode="External"/><Relationship Id="rId45" Type="http://schemas.openxmlformats.org/officeDocument/2006/relationships/hyperlink" Target="https://shop.greenlight.com/" TargetMode="External"/><Relationship Id="rId66" Type="http://schemas.openxmlformats.org/officeDocument/2006/relationships/hyperlink" Target="https://lipoglpargentina.com/" TargetMode="External"/><Relationship Id="rId87" Type="http://schemas.openxmlformats.org/officeDocument/2006/relationships/hyperlink" Target="https://skinology.cl/" TargetMode="External"/><Relationship Id="rId61" Type="http://schemas.openxmlformats.org/officeDocument/2006/relationships/hyperlink" Target="https://fortemaxarg.com/" TargetMode="External"/><Relationship Id="rId82" Type="http://schemas.openxmlformats.org/officeDocument/2006/relationships/hyperlink" Target="https://luneriaargentina.com/" TargetMode="External"/><Relationship Id="rId19" Type="http://schemas.openxmlformats.org/officeDocument/2006/relationships/hyperlink" Target="https://gatsbycanvas.com/" TargetMode="External"/><Relationship Id="rId14" Type="http://schemas.openxmlformats.org/officeDocument/2006/relationships/hyperlink" Target="https://koriderm.com/" TargetMode="External"/><Relationship Id="rId30" Type="http://schemas.openxmlformats.org/officeDocument/2006/relationships/hyperlink" Target="https://getcellu.com/" TargetMode="External"/><Relationship Id="rId35" Type="http://schemas.openxmlformats.org/officeDocument/2006/relationships/hyperlink" Target="https://spnutrition-us.com/" TargetMode="External"/><Relationship Id="rId56" Type="http://schemas.openxmlformats.org/officeDocument/2006/relationships/hyperlink" Target="https://doggyspout.com/" TargetMode="External"/><Relationship Id="rId77" Type="http://schemas.openxmlformats.org/officeDocument/2006/relationships/hyperlink" Target="https://cositasdeliciosas.mx/" TargetMode="External"/><Relationship Id="rId100" Type="http://schemas.openxmlformats.org/officeDocument/2006/relationships/hyperlink" Target="https://mamabearoasis.com/" TargetMode="External"/><Relationship Id="rId8" Type="http://schemas.openxmlformats.org/officeDocument/2006/relationships/hyperlink" Target="https://es-morgeskin.com/" TargetMode="External"/><Relationship Id="rId51" Type="http://schemas.openxmlformats.org/officeDocument/2006/relationships/hyperlink" Target="https://aqualoar.myshopify.com/" TargetMode="External"/><Relationship Id="rId72" Type="http://schemas.openxmlformats.org/officeDocument/2006/relationships/hyperlink" Target="https://shop-amers.nature.com/" TargetMode="External"/><Relationship Id="rId93" Type="http://schemas.openxmlformats.org/officeDocument/2006/relationships/hyperlink" Target="https://apolocosmetics.com/" TargetMode="External"/><Relationship Id="rId98" Type="http://schemas.openxmlformats.org/officeDocument/2006/relationships/hyperlink" Target="https://pawira.com/" TargetMode="External"/><Relationship Id="rId3" Type="http://schemas.openxmlformats.org/officeDocument/2006/relationships/hyperlink" Target="https://nivora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abSelected="1" workbookViewId="0">
      <pane ySplit="1" topLeftCell="A17" activePane="bottomLeft" state="frozen"/>
      <selection pane="bottomLeft" activeCell="M40" sqref="M40"/>
    </sheetView>
  </sheetViews>
  <sheetFormatPr baseColWidth="10" defaultColWidth="9.140625" defaultRowHeight="15" x14ac:dyDescent="0.25"/>
  <cols>
    <col min="1" max="1" width="4" customWidth="1"/>
    <col min="2" max="2" width="22" customWidth="1"/>
    <col min="3" max="3" width="38" customWidth="1"/>
    <col min="4" max="4" width="12" customWidth="1"/>
    <col min="5" max="5" width="6" customWidth="1"/>
    <col min="6" max="7" width="11" customWidth="1"/>
    <col min="8" max="8" width="12" customWidth="1"/>
    <col min="9" max="9" width="9" customWidth="1"/>
    <col min="10" max="10" width="15" customWidth="1"/>
    <col min="11" max="11" width="17" customWidth="1"/>
    <col min="12" max="12" width="18" customWidth="1"/>
    <col min="13" max="13" width="28" customWidth="1"/>
    <col min="14" max="14" width="15" customWidth="1"/>
    <col min="15" max="15" width="11" customWidth="1"/>
    <col min="16" max="16" width="14" customWidth="1"/>
    <col min="17" max="17" width="17" customWidth="1"/>
  </cols>
  <sheetData>
    <row r="1" spans="1:1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3" t="s">
        <v>14</v>
      </c>
      <c r="P1" s="13" t="s">
        <v>15</v>
      </c>
      <c r="Q1" s="13" t="s">
        <v>16</v>
      </c>
    </row>
    <row r="2" spans="1:17" x14ac:dyDescent="0.25">
      <c r="A2" s="2">
        <v>1</v>
      </c>
      <c r="B2" s="3" t="s">
        <v>17</v>
      </c>
      <c r="C2" s="3" t="s">
        <v>18</v>
      </c>
      <c r="D2" s="4">
        <v>14</v>
      </c>
      <c r="E2" s="2">
        <v>14</v>
      </c>
      <c r="F2" s="2">
        <v>1190</v>
      </c>
      <c r="G2" s="5" t="s">
        <v>19</v>
      </c>
      <c r="H2" s="2" t="s">
        <v>20</v>
      </c>
      <c r="I2" s="2" t="s">
        <v>21</v>
      </c>
      <c r="J2" s="6" t="s">
        <v>22</v>
      </c>
      <c r="K2" s="6" t="s">
        <v>23</v>
      </c>
      <c r="L2" s="3" t="s">
        <v>24</v>
      </c>
      <c r="M2" s="7" t="s">
        <v>25</v>
      </c>
      <c r="N2" s="8" t="s">
        <v>26</v>
      </c>
      <c r="O2" s="14">
        <v>54717</v>
      </c>
      <c r="P2" s="14">
        <f t="shared" ref="P2:P33" si="0">ROUND(O2*0.03,0)</f>
        <v>1642</v>
      </c>
      <c r="Q2" s="15">
        <f t="shared" ref="Q2:Q33" si="1">P2*D2</f>
        <v>22988</v>
      </c>
    </row>
    <row r="3" spans="1:17" x14ac:dyDescent="0.25">
      <c r="A3" s="9">
        <v>2</v>
      </c>
      <c r="B3" s="10" t="s">
        <v>27</v>
      </c>
      <c r="C3" s="10" t="s">
        <v>28</v>
      </c>
      <c r="D3" s="11">
        <v>30</v>
      </c>
      <c r="E3" s="9">
        <v>7</v>
      </c>
      <c r="F3" s="9">
        <v>1188</v>
      </c>
      <c r="G3" s="5" t="s">
        <v>19</v>
      </c>
      <c r="H3" s="9" t="s">
        <v>20</v>
      </c>
      <c r="I3" s="9" t="s">
        <v>29</v>
      </c>
      <c r="J3" s="12" t="s">
        <v>30</v>
      </c>
      <c r="K3" s="12" t="s">
        <v>23</v>
      </c>
      <c r="L3" s="10" t="s">
        <v>24</v>
      </c>
      <c r="M3" s="7" t="s">
        <v>31</v>
      </c>
      <c r="N3" s="8" t="s">
        <v>19</v>
      </c>
      <c r="O3" s="14">
        <v>251530</v>
      </c>
      <c r="P3" s="14">
        <f t="shared" si="0"/>
        <v>7546</v>
      </c>
      <c r="Q3" s="15">
        <f t="shared" si="1"/>
        <v>226380</v>
      </c>
    </row>
    <row r="4" spans="1:17" x14ac:dyDescent="0.25">
      <c r="A4" s="2">
        <v>3</v>
      </c>
      <c r="B4" s="3" t="s">
        <v>32</v>
      </c>
      <c r="C4" s="3" t="s">
        <v>33</v>
      </c>
      <c r="D4" s="4">
        <v>22</v>
      </c>
      <c r="E4" s="2">
        <v>2</v>
      </c>
      <c r="F4" s="2">
        <v>1135</v>
      </c>
      <c r="G4" s="5" t="s">
        <v>19</v>
      </c>
      <c r="H4" s="2" t="s">
        <v>34</v>
      </c>
      <c r="I4" s="2" t="s">
        <v>35</v>
      </c>
      <c r="J4" s="6" t="s">
        <v>36</v>
      </c>
      <c r="K4" s="6" t="s">
        <v>37</v>
      </c>
      <c r="L4" s="3" t="s">
        <v>38</v>
      </c>
      <c r="M4" s="7" t="s">
        <v>39</v>
      </c>
      <c r="N4" s="8" t="s">
        <v>26</v>
      </c>
      <c r="O4" s="14">
        <v>909</v>
      </c>
      <c r="P4" s="14">
        <f t="shared" si="0"/>
        <v>27</v>
      </c>
      <c r="Q4" s="15">
        <f t="shared" si="1"/>
        <v>594</v>
      </c>
    </row>
    <row r="5" spans="1:17" x14ac:dyDescent="0.25">
      <c r="A5" s="9">
        <v>4</v>
      </c>
      <c r="B5" s="10" t="s">
        <v>40</v>
      </c>
      <c r="C5" s="10" t="s">
        <v>41</v>
      </c>
      <c r="D5" s="11">
        <v>32</v>
      </c>
      <c r="E5" s="9">
        <v>11</v>
      </c>
      <c r="F5" s="9">
        <v>1061</v>
      </c>
      <c r="G5" s="5" t="s">
        <v>19</v>
      </c>
      <c r="H5" s="9" t="s">
        <v>42</v>
      </c>
      <c r="I5" s="9" t="s">
        <v>43</v>
      </c>
      <c r="J5" s="12" t="s">
        <v>36</v>
      </c>
      <c r="K5" s="12" t="s">
        <v>23</v>
      </c>
      <c r="L5" s="10" t="s">
        <v>24</v>
      </c>
      <c r="M5" s="7" t="s">
        <v>44</v>
      </c>
      <c r="N5" s="8" t="s">
        <v>26</v>
      </c>
      <c r="O5" s="14">
        <v>529</v>
      </c>
      <c r="P5" s="14">
        <f t="shared" si="0"/>
        <v>16</v>
      </c>
      <c r="Q5" s="15">
        <f t="shared" si="1"/>
        <v>512</v>
      </c>
    </row>
    <row r="6" spans="1:17" x14ac:dyDescent="0.25">
      <c r="A6" s="2">
        <v>5</v>
      </c>
      <c r="B6" s="3" t="s">
        <v>45</v>
      </c>
      <c r="C6" s="3" t="s">
        <v>46</v>
      </c>
      <c r="D6" s="4">
        <v>35</v>
      </c>
      <c r="E6" s="2">
        <v>20</v>
      </c>
      <c r="F6" s="2">
        <v>970</v>
      </c>
      <c r="G6" s="5" t="s">
        <v>19</v>
      </c>
      <c r="H6" s="2" t="s">
        <v>47</v>
      </c>
      <c r="I6" s="2" t="s">
        <v>48</v>
      </c>
      <c r="J6" s="6" t="s">
        <v>49</v>
      </c>
      <c r="K6" s="6" t="s">
        <v>50</v>
      </c>
      <c r="L6" s="3" t="s">
        <v>51</v>
      </c>
      <c r="M6" s="7" t="s">
        <v>52</v>
      </c>
      <c r="N6" s="8" t="s">
        <v>26</v>
      </c>
      <c r="O6" s="14">
        <v>40062</v>
      </c>
      <c r="P6" s="14">
        <f t="shared" si="0"/>
        <v>1202</v>
      </c>
      <c r="Q6" s="15">
        <f t="shared" si="1"/>
        <v>42070</v>
      </c>
    </row>
    <row r="7" spans="1:17" x14ac:dyDescent="0.25">
      <c r="A7" s="9">
        <v>6</v>
      </c>
      <c r="B7" s="10" t="s">
        <v>53</v>
      </c>
      <c r="C7" s="10" t="s">
        <v>54</v>
      </c>
      <c r="D7" s="11">
        <v>25</v>
      </c>
      <c r="E7" s="9">
        <v>6</v>
      </c>
      <c r="F7" s="9">
        <v>875</v>
      </c>
      <c r="G7" s="5" t="s">
        <v>19</v>
      </c>
      <c r="H7" s="9" t="s">
        <v>55</v>
      </c>
      <c r="I7" s="9" t="s">
        <v>56</v>
      </c>
      <c r="J7" s="12" t="s">
        <v>57</v>
      </c>
      <c r="K7" s="12" t="s">
        <v>50</v>
      </c>
      <c r="L7" s="10" t="s">
        <v>51</v>
      </c>
      <c r="M7" s="7" t="s">
        <v>58</v>
      </c>
      <c r="N7" s="8" t="s">
        <v>19</v>
      </c>
      <c r="O7" s="14">
        <v>27150</v>
      </c>
      <c r="P7" s="14">
        <f t="shared" si="0"/>
        <v>815</v>
      </c>
      <c r="Q7" s="15">
        <f t="shared" si="1"/>
        <v>20375</v>
      </c>
    </row>
    <row r="8" spans="1:17" x14ac:dyDescent="0.25">
      <c r="A8" s="2">
        <v>7</v>
      </c>
      <c r="B8" s="3" t="s">
        <v>59</v>
      </c>
      <c r="C8" s="3" t="s">
        <v>60</v>
      </c>
      <c r="D8" s="4">
        <v>29</v>
      </c>
      <c r="E8" s="2">
        <v>20</v>
      </c>
      <c r="F8" s="2">
        <v>841</v>
      </c>
      <c r="G8" s="5" t="s">
        <v>19</v>
      </c>
      <c r="H8" s="2" t="s">
        <v>61</v>
      </c>
      <c r="I8" s="2" t="s">
        <v>43</v>
      </c>
      <c r="J8" s="6" t="s">
        <v>62</v>
      </c>
      <c r="K8" s="6" t="s">
        <v>50</v>
      </c>
      <c r="L8" s="3" t="s">
        <v>51</v>
      </c>
      <c r="M8" s="7" t="s">
        <v>63</v>
      </c>
      <c r="N8" s="8" t="s">
        <v>19</v>
      </c>
      <c r="O8" s="14">
        <v>95145</v>
      </c>
      <c r="P8" s="14">
        <f t="shared" si="0"/>
        <v>2854</v>
      </c>
      <c r="Q8" s="15">
        <f t="shared" si="1"/>
        <v>82766</v>
      </c>
    </row>
    <row r="9" spans="1:17" x14ac:dyDescent="0.25">
      <c r="A9" s="9">
        <v>8</v>
      </c>
      <c r="B9" s="10" t="s">
        <v>64</v>
      </c>
      <c r="C9" s="10" t="s">
        <v>65</v>
      </c>
      <c r="D9" s="11">
        <v>21</v>
      </c>
      <c r="E9" s="9">
        <v>6</v>
      </c>
      <c r="F9" s="9">
        <v>804</v>
      </c>
      <c r="G9" s="5" t="s">
        <v>19</v>
      </c>
      <c r="H9" s="9" t="s">
        <v>66</v>
      </c>
      <c r="I9" s="9" t="s">
        <v>67</v>
      </c>
      <c r="J9" s="12" t="s">
        <v>36</v>
      </c>
      <c r="K9" s="12" t="s">
        <v>37</v>
      </c>
      <c r="L9" s="10" t="s">
        <v>38</v>
      </c>
      <c r="M9" s="7" t="s">
        <v>68</v>
      </c>
      <c r="N9" s="8" t="s">
        <v>26</v>
      </c>
      <c r="O9" s="14">
        <v>1406</v>
      </c>
      <c r="P9" s="14">
        <f t="shared" si="0"/>
        <v>42</v>
      </c>
      <c r="Q9" s="15">
        <f t="shared" si="1"/>
        <v>882</v>
      </c>
    </row>
    <row r="10" spans="1:17" ht="38.25" customHeight="1" x14ac:dyDescent="0.25">
      <c r="A10" s="2">
        <v>9</v>
      </c>
      <c r="B10" s="3" t="s">
        <v>69</v>
      </c>
      <c r="C10" s="3" t="s">
        <v>70</v>
      </c>
      <c r="D10" s="4">
        <v>50</v>
      </c>
      <c r="E10" s="2">
        <v>14</v>
      </c>
      <c r="F10" s="2">
        <v>802</v>
      </c>
      <c r="G10" s="5" t="s">
        <v>19</v>
      </c>
      <c r="H10" s="2" t="s">
        <v>71</v>
      </c>
      <c r="I10" s="2" t="s">
        <v>43</v>
      </c>
      <c r="J10" s="6" t="s">
        <v>72</v>
      </c>
      <c r="K10" s="6" t="s">
        <v>23</v>
      </c>
      <c r="L10" s="3" t="s">
        <v>24</v>
      </c>
      <c r="M10" s="7" t="s">
        <v>73</v>
      </c>
      <c r="N10" s="8" t="s">
        <v>26</v>
      </c>
      <c r="O10" s="14">
        <v>37528</v>
      </c>
      <c r="P10" s="14">
        <f t="shared" si="0"/>
        <v>1126</v>
      </c>
      <c r="Q10" s="15">
        <f t="shared" si="1"/>
        <v>56300</v>
      </c>
    </row>
    <row r="11" spans="1:17" ht="25.5" customHeight="1" x14ac:dyDescent="0.25">
      <c r="A11" s="9">
        <v>10</v>
      </c>
      <c r="B11" s="10" t="s">
        <v>74</v>
      </c>
      <c r="C11" s="10" t="s">
        <v>75</v>
      </c>
      <c r="D11" s="11">
        <v>66</v>
      </c>
      <c r="E11" s="9">
        <v>3</v>
      </c>
      <c r="F11" s="9">
        <v>747</v>
      </c>
      <c r="G11" s="5" t="s">
        <v>19</v>
      </c>
      <c r="H11" s="9" t="s">
        <v>76</v>
      </c>
      <c r="I11" s="9" t="s">
        <v>67</v>
      </c>
      <c r="J11" s="12" t="s">
        <v>77</v>
      </c>
      <c r="K11" s="12" t="s">
        <v>50</v>
      </c>
      <c r="L11" s="10" t="s">
        <v>51</v>
      </c>
      <c r="M11" s="7" t="s">
        <v>78</v>
      </c>
      <c r="N11" s="8" t="s">
        <v>26</v>
      </c>
      <c r="O11" s="14">
        <v>9412</v>
      </c>
      <c r="P11" s="14">
        <f t="shared" si="0"/>
        <v>282</v>
      </c>
      <c r="Q11" s="15">
        <f t="shared" si="1"/>
        <v>18612</v>
      </c>
    </row>
    <row r="12" spans="1:17" x14ac:dyDescent="0.25">
      <c r="A12" s="2">
        <v>11</v>
      </c>
      <c r="B12" s="3" t="s">
        <v>79</v>
      </c>
      <c r="C12" s="3" t="s">
        <v>80</v>
      </c>
      <c r="D12" s="4">
        <v>399</v>
      </c>
      <c r="E12" s="2">
        <v>16</v>
      </c>
      <c r="F12" s="2">
        <v>741</v>
      </c>
      <c r="G12" s="5" t="s">
        <v>19</v>
      </c>
      <c r="H12" s="2" t="s">
        <v>81</v>
      </c>
      <c r="I12" s="2" t="s">
        <v>82</v>
      </c>
      <c r="J12" s="6" t="s">
        <v>83</v>
      </c>
      <c r="K12" s="6" t="s">
        <v>50</v>
      </c>
      <c r="L12" s="3" t="s">
        <v>51</v>
      </c>
      <c r="M12" s="7" t="s">
        <v>84</v>
      </c>
      <c r="N12" s="8" t="s">
        <v>26</v>
      </c>
      <c r="O12" s="14">
        <v>55265</v>
      </c>
      <c r="P12" s="14">
        <f t="shared" si="0"/>
        <v>1658</v>
      </c>
      <c r="Q12" s="15">
        <f t="shared" si="1"/>
        <v>661542</v>
      </c>
    </row>
    <row r="13" spans="1:17" x14ac:dyDescent="0.25">
      <c r="A13" s="9">
        <v>12</v>
      </c>
      <c r="B13" s="10" t="s">
        <v>85</v>
      </c>
      <c r="C13" s="10" t="s">
        <v>86</v>
      </c>
      <c r="D13" s="11">
        <v>40</v>
      </c>
      <c r="E13" s="9">
        <v>14</v>
      </c>
      <c r="F13" s="9">
        <v>720</v>
      </c>
      <c r="G13" s="5" t="s">
        <v>19</v>
      </c>
      <c r="H13" s="9" t="s">
        <v>87</v>
      </c>
      <c r="I13" s="9" t="s">
        <v>88</v>
      </c>
      <c r="J13" s="12" t="s">
        <v>89</v>
      </c>
      <c r="K13" s="12" t="s">
        <v>23</v>
      </c>
      <c r="L13" s="10" t="s">
        <v>24</v>
      </c>
      <c r="M13" s="7" t="s">
        <v>90</v>
      </c>
      <c r="N13" s="8" t="s">
        <v>26</v>
      </c>
      <c r="O13" s="14">
        <v>26220</v>
      </c>
      <c r="P13" s="14">
        <f t="shared" si="0"/>
        <v>787</v>
      </c>
      <c r="Q13" s="15">
        <f t="shared" si="1"/>
        <v>31480</v>
      </c>
    </row>
    <row r="14" spans="1:17" x14ac:dyDescent="0.25">
      <c r="A14" s="2">
        <v>13</v>
      </c>
      <c r="B14" s="3" t="s">
        <v>91</v>
      </c>
      <c r="C14" s="3" t="s">
        <v>92</v>
      </c>
      <c r="D14" s="4">
        <v>86</v>
      </c>
      <c r="E14" s="2">
        <v>12</v>
      </c>
      <c r="F14" s="2">
        <v>719</v>
      </c>
      <c r="G14" s="5" t="s">
        <v>19</v>
      </c>
      <c r="H14" s="2" t="s">
        <v>93</v>
      </c>
      <c r="I14" s="2" t="s">
        <v>94</v>
      </c>
      <c r="J14" s="6" t="s">
        <v>95</v>
      </c>
      <c r="K14" s="6" t="s">
        <v>50</v>
      </c>
      <c r="L14" s="3" t="s">
        <v>51</v>
      </c>
      <c r="M14" s="7" t="s">
        <v>96</v>
      </c>
      <c r="N14" s="8" t="s">
        <v>26</v>
      </c>
      <c r="O14" s="14">
        <v>14784</v>
      </c>
      <c r="P14" s="14">
        <f t="shared" si="0"/>
        <v>444</v>
      </c>
      <c r="Q14" s="15">
        <f t="shared" si="1"/>
        <v>38184</v>
      </c>
    </row>
    <row r="15" spans="1:17" x14ac:dyDescent="0.25">
      <c r="A15" s="9">
        <v>14</v>
      </c>
      <c r="B15" s="10" t="s">
        <v>97</v>
      </c>
      <c r="C15" s="10" t="s">
        <v>98</v>
      </c>
      <c r="D15" s="11">
        <v>89</v>
      </c>
      <c r="E15" s="9">
        <v>18</v>
      </c>
      <c r="F15" s="9">
        <v>701</v>
      </c>
      <c r="G15" s="5" t="s">
        <v>19</v>
      </c>
      <c r="H15" s="9" t="s">
        <v>99</v>
      </c>
      <c r="I15" s="9" t="s">
        <v>100</v>
      </c>
      <c r="J15" s="12" t="s">
        <v>101</v>
      </c>
      <c r="K15" s="12" t="s">
        <v>37</v>
      </c>
      <c r="L15" s="10" t="s">
        <v>38</v>
      </c>
      <c r="M15" s="7" t="s">
        <v>102</v>
      </c>
      <c r="N15" s="8" t="s">
        <v>26</v>
      </c>
      <c r="O15" s="14">
        <v>171328</v>
      </c>
      <c r="P15" s="14">
        <f t="shared" si="0"/>
        <v>5140</v>
      </c>
      <c r="Q15" s="15">
        <f t="shared" si="1"/>
        <v>457460</v>
      </c>
    </row>
    <row r="16" spans="1:17" x14ac:dyDescent="0.25">
      <c r="A16" s="2">
        <v>15</v>
      </c>
      <c r="B16" s="3" t="s">
        <v>103</v>
      </c>
      <c r="C16" s="3" t="s">
        <v>104</v>
      </c>
      <c r="D16" s="4">
        <v>45</v>
      </c>
      <c r="E16" s="2">
        <v>19</v>
      </c>
      <c r="F16" s="2">
        <v>644</v>
      </c>
      <c r="G16" s="5" t="s">
        <v>19</v>
      </c>
      <c r="H16" s="2" t="s">
        <v>105</v>
      </c>
      <c r="I16" s="2" t="s">
        <v>100</v>
      </c>
      <c r="J16" s="6" t="s">
        <v>36</v>
      </c>
      <c r="K16" s="6" t="s">
        <v>50</v>
      </c>
      <c r="L16" s="3" t="s">
        <v>51</v>
      </c>
      <c r="M16" s="7" t="s">
        <v>106</v>
      </c>
      <c r="N16" s="8" t="s">
        <v>26</v>
      </c>
      <c r="O16" s="14">
        <v>4680</v>
      </c>
      <c r="P16" s="14">
        <f t="shared" si="0"/>
        <v>140</v>
      </c>
      <c r="Q16" s="15">
        <f t="shared" si="1"/>
        <v>6300</v>
      </c>
    </row>
    <row r="17" spans="1:17" x14ac:dyDescent="0.25">
      <c r="A17" s="9">
        <v>16</v>
      </c>
      <c r="B17" s="10" t="s">
        <v>107</v>
      </c>
      <c r="C17" s="10" t="s">
        <v>108</v>
      </c>
      <c r="D17" s="11">
        <v>30</v>
      </c>
      <c r="E17" s="9">
        <v>12</v>
      </c>
      <c r="F17" s="9">
        <v>639</v>
      </c>
      <c r="G17" s="5" t="s">
        <v>19</v>
      </c>
      <c r="H17" s="9" t="s">
        <v>109</v>
      </c>
      <c r="I17" s="9" t="s">
        <v>110</v>
      </c>
      <c r="J17" s="12" t="s">
        <v>111</v>
      </c>
      <c r="K17" s="12" t="s">
        <v>50</v>
      </c>
      <c r="L17" s="10" t="s">
        <v>51</v>
      </c>
      <c r="M17" s="7" t="s">
        <v>112</v>
      </c>
      <c r="N17" s="8" t="s">
        <v>26</v>
      </c>
      <c r="O17" s="14">
        <v>25627</v>
      </c>
      <c r="P17" s="14">
        <f t="shared" si="0"/>
        <v>769</v>
      </c>
      <c r="Q17" s="15">
        <f t="shared" si="1"/>
        <v>23070</v>
      </c>
    </row>
    <row r="18" spans="1:17" x14ac:dyDescent="0.25">
      <c r="A18" s="2">
        <v>17</v>
      </c>
      <c r="B18" s="3" t="s">
        <v>113</v>
      </c>
      <c r="C18" s="3" t="s">
        <v>114</v>
      </c>
      <c r="D18" s="4">
        <v>100</v>
      </c>
      <c r="E18" s="2">
        <v>20</v>
      </c>
      <c r="F18" s="2">
        <v>623</v>
      </c>
      <c r="G18" s="5" t="s">
        <v>19</v>
      </c>
      <c r="H18" s="2" t="s">
        <v>115</v>
      </c>
      <c r="I18" s="2" t="s">
        <v>116</v>
      </c>
      <c r="J18" s="6" t="s">
        <v>117</v>
      </c>
      <c r="K18" s="6" t="s">
        <v>23</v>
      </c>
      <c r="L18" s="3" t="s">
        <v>24</v>
      </c>
      <c r="M18" s="7" t="s">
        <v>118</v>
      </c>
      <c r="N18" s="8" t="s">
        <v>26</v>
      </c>
      <c r="O18" s="14">
        <v>39655</v>
      </c>
      <c r="P18" s="14">
        <f t="shared" si="0"/>
        <v>1190</v>
      </c>
      <c r="Q18" s="15">
        <f t="shared" si="1"/>
        <v>119000</v>
      </c>
    </row>
    <row r="19" spans="1:17" x14ac:dyDescent="0.25">
      <c r="A19" s="9">
        <v>18</v>
      </c>
      <c r="B19" s="10" t="s">
        <v>119</v>
      </c>
      <c r="C19" s="10" t="s">
        <v>120</v>
      </c>
      <c r="D19" s="11">
        <v>36</v>
      </c>
      <c r="E19" s="9">
        <v>11</v>
      </c>
      <c r="F19" s="9">
        <v>593</v>
      </c>
      <c r="G19" s="5" t="s">
        <v>19</v>
      </c>
      <c r="H19" s="9" t="s">
        <v>121</v>
      </c>
      <c r="I19" s="9" t="s">
        <v>35</v>
      </c>
      <c r="J19" s="12" t="s">
        <v>122</v>
      </c>
      <c r="K19" s="12" t="s">
        <v>50</v>
      </c>
      <c r="L19" s="10" t="s">
        <v>51</v>
      </c>
      <c r="M19" s="26" t="s">
        <v>123</v>
      </c>
      <c r="N19" s="8" t="s">
        <v>124</v>
      </c>
      <c r="O19" s="14">
        <v>100363</v>
      </c>
      <c r="P19" s="14">
        <f t="shared" si="0"/>
        <v>3011</v>
      </c>
      <c r="Q19" s="15">
        <f t="shared" si="1"/>
        <v>108396</v>
      </c>
    </row>
    <row r="20" spans="1:17" x14ac:dyDescent="0.25">
      <c r="A20" s="2">
        <v>19</v>
      </c>
      <c r="B20" s="3" t="s">
        <v>125</v>
      </c>
      <c r="C20" s="3" t="s">
        <v>126</v>
      </c>
      <c r="D20" s="4">
        <v>20</v>
      </c>
      <c r="E20" s="2">
        <v>9</v>
      </c>
      <c r="F20" s="2">
        <v>555</v>
      </c>
      <c r="G20" s="5" t="s">
        <v>19</v>
      </c>
      <c r="H20" s="2" t="s">
        <v>127</v>
      </c>
      <c r="I20" s="2" t="s">
        <v>128</v>
      </c>
      <c r="J20" s="6" t="s">
        <v>129</v>
      </c>
      <c r="K20" s="6" t="s">
        <v>50</v>
      </c>
      <c r="L20" s="3" t="s">
        <v>51</v>
      </c>
      <c r="M20" s="7" t="s">
        <v>130</v>
      </c>
      <c r="N20" s="8" t="s">
        <v>26</v>
      </c>
      <c r="O20" s="14">
        <v>18294</v>
      </c>
      <c r="P20" s="14">
        <f t="shared" si="0"/>
        <v>549</v>
      </c>
      <c r="Q20" s="15">
        <f t="shared" si="1"/>
        <v>10980</v>
      </c>
    </row>
    <row r="21" spans="1:17" x14ac:dyDescent="0.25">
      <c r="A21" s="9">
        <v>20</v>
      </c>
      <c r="B21" s="10" t="s">
        <v>131</v>
      </c>
      <c r="C21" s="10" t="s">
        <v>132</v>
      </c>
      <c r="D21" s="11">
        <v>77</v>
      </c>
      <c r="E21" s="9">
        <v>2</v>
      </c>
      <c r="F21" s="9">
        <v>551</v>
      </c>
      <c r="G21" s="5" t="s">
        <v>19</v>
      </c>
      <c r="H21" s="9" t="s">
        <v>20</v>
      </c>
      <c r="I21" s="9" t="s">
        <v>133</v>
      </c>
      <c r="J21" s="12" t="s">
        <v>134</v>
      </c>
      <c r="K21" s="12" t="s">
        <v>37</v>
      </c>
      <c r="L21" s="10" t="s">
        <v>38</v>
      </c>
      <c r="M21" s="7" t="s">
        <v>135</v>
      </c>
      <c r="N21" s="8" t="s">
        <v>124</v>
      </c>
      <c r="O21" s="14">
        <v>868</v>
      </c>
      <c r="P21" s="14">
        <f t="shared" si="0"/>
        <v>26</v>
      </c>
      <c r="Q21" s="15">
        <f t="shared" si="1"/>
        <v>2002</v>
      </c>
    </row>
    <row r="22" spans="1:17" x14ac:dyDescent="0.25">
      <c r="A22" s="2">
        <v>21</v>
      </c>
      <c r="B22" s="3" t="s">
        <v>136</v>
      </c>
      <c r="C22" s="3" t="s">
        <v>137</v>
      </c>
      <c r="D22" s="4">
        <v>399</v>
      </c>
      <c r="E22" s="2">
        <v>21</v>
      </c>
      <c r="F22" s="2">
        <v>539</v>
      </c>
      <c r="G22" s="5" t="s">
        <v>19</v>
      </c>
      <c r="H22" s="2" t="s">
        <v>138</v>
      </c>
      <c r="I22" s="2" t="s">
        <v>139</v>
      </c>
      <c r="J22" s="6" t="s">
        <v>140</v>
      </c>
      <c r="K22" s="6" t="s">
        <v>50</v>
      </c>
      <c r="L22" s="3" t="s">
        <v>51</v>
      </c>
      <c r="M22" s="7" t="s">
        <v>141</v>
      </c>
      <c r="N22" s="8" t="s">
        <v>26</v>
      </c>
      <c r="O22" s="14">
        <v>23199</v>
      </c>
      <c r="P22" s="14">
        <f t="shared" si="0"/>
        <v>696</v>
      </c>
      <c r="Q22" s="15">
        <f t="shared" si="1"/>
        <v>277704</v>
      </c>
    </row>
    <row r="23" spans="1:17" ht="25.5" customHeight="1" x14ac:dyDescent="0.25">
      <c r="A23" s="9">
        <v>22</v>
      </c>
      <c r="B23" s="10" t="s">
        <v>142</v>
      </c>
      <c r="C23" s="10" t="s">
        <v>143</v>
      </c>
      <c r="D23" s="11">
        <v>199</v>
      </c>
      <c r="E23" s="9">
        <v>15</v>
      </c>
      <c r="F23" s="9">
        <v>537</v>
      </c>
      <c r="G23" s="5" t="s">
        <v>19</v>
      </c>
      <c r="H23" s="9" t="s">
        <v>144</v>
      </c>
      <c r="I23" s="9" t="s">
        <v>145</v>
      </c>
      <c r="J23" s="12" t="s">
        <v>146</v>
      </c>
      <c r="K23" s="12" t="s">
        <v>50</v>
      </c>
      <c r="L23" s="10" t="s">
        <v>51</v>
      </c>
      <c r="M23" s="7" t="s">
        <v>147</v>
      </c>
      <c r="N23" s="8" t="s">
        <v>26</v>
      </c>
      <c r="O23" s="14">
        <v>506651</v>
      </c>
      <c r="P23" s="14">
        <f t="shared" si="0"/>
        <v>15200</v>
      </c>
      <c r="Q23" s="15">
        <f t="shared" si="1"/>
        <v>3024800</v>
      </c>
    </row>
    <row r="24" spans="1:17" x14ac:dyDescent="0.25">
      <c r="A24" s="2">
        <v>23</v>
      </c>
      <c r="B24" s="3" t="s">
        <v>148</v>
      </c>
      <c r="C24" s="3" t="s">
        <v>149</v>
      </c>
      <c r="D24" s="4">
        <v>106000</v>
      </c>
      <c r="E24" s="2">
        <v>19</v>
      </c>
      <c r="F24" s="2">
        <v>507</v>
      </c>
      <c r="G24" s="5" t="s">
        <v>19</v>
      </c>
      <c r="H24" s="2" t="s">
        <v>150</v>
      </c>
      <c r="I24" s="2" t="s">
        <v>151</v>
      </c>
      <c r="J24" s="6" t="s">
        <v>152</v>
      </c>
      <c r="K24" s="6" t="s">
        <v>50</v>
      </c>
      <c r="L24" s="3" t="s">
        <v>51</v>
      </c>
      <c r="M24" s="7" t="s">
        <v>153</v>
      </c>
      <c r="N24" s="8" t="s">
        <v>26</v>
      </c>
      <c r="O24" s="14">
        <v>64613</v>
      </c>
      <c r="P24" s="14">
        <f t="shared" si="0"/>
        <v>1938</v>
      </c>
      <c r="Q24" s="15">
        <f t="shared" si="1"/>
        <v>205428000</v>
      </c>
    </row>
    <row r="25" spans="1:17" x14ac:dyDescent="0.25">
      <c r="A25" s="9">
        <v>24</v>
      </c>
      <c r="B25" s="10" t="s">
        <v>154</v>
      </c>
      <c r="C25" s="10" t="s">
        <v>155</v>
      </c>
      <c r="D25" s="11">
        <v>16</v>
      </c>
      <c r="E25" s="9">
        <v>1</v>
      </c>
      <c r="F25" s="9">
        <v>504</v>
      </c>
      <c r="G25" s="5" t="s">
        <v>19</v>
      </c>
      <c r="H25" s="9" t="s">
        <v>156</v>
      </c>
      <c r="I25" s="9" t="s">
        <v>157</v>
      </c>
      <c r="J25" s="12" t="s">
        <v>158</v>
      </c>
      <c r="K25" s="12" t="s">
        <v>50</v>
      </c>
      <c r="L25" s="10" t="s">
        <v>51</v>
      </c>
      <c r="M25" s="7" t="s">
        <v>159</v>
      </c>
      <c r="N25" s="8" t="s">
        <v>26</v>
      </c>
      <c r="O25" s="14">
        <v>7290</v>
      </c>
      <c r="P25" s="14">
        <f t="shared" si="0"/>
        <v>219</v>
      </c>
      <c r="Q25" s="15">
        <f t="shared" si="1"/>
        <v>3504</v>
      </c>
    </row>
    <row r="26" spans="1:17" x14ac:dyDescent="0.25">
      <c r="A26" s="2">
        <v>25</v>
      </c>
      <c r="B26" s="3" t="s">
        <v>160</v>
      </c>
      <c r="C26" s="3" t="s">
        <v>161</v>
      </c>
      <c r="D26" s="4">
        <v>35</v>
      </c>
      <c r="E26" s="2">
        <v>10</v>
      </c>
      <c r="F26" s="2">
        <v>504</v>
      </c>
      <c r="G26" s="5" t="s">
        <v>19</v>
      </c>
      <c r="H26" s="2" t="s">
        <v>162</v>
      </c>
      <c r="I26" s="2" t="s">
        <v>163</v>
      </c>
      <c r="J26" s="6" t="s">
        <v>164</v>
      </c>
      <c r="K26" s="6" t="s">
        <v>37</v>
      </c>
      <c r="L26" s="3" t="s">
        <v>38</v>
      </c>
      <c r="M26" s="7" t="s">
        <v>165</v>
      </c>
      <c r="N26" s="8" t="s">
        <v>26</v>
      </c>
      <c r="O26" s="14">
        <v>19385</v>
      </c>
      <c r="P26" s="14">
        <f t="shared" si="0"/>
        <v>582</v>
      </c>
      <c r="Q26" s="15">
        <f t="shared" si="1"/>
        <v>20370</v>
      </c>
    </row>
    <row r="27" spans="1:17" x14ac:dyDescent="0.25">
      <c r="A27" s="9">
        <v>26</v>
      </c>
      <c r="B27" s="10" t="s">
        <v>166</v>
      </c>
      <c r="C27" s="10" t="s">
        <v>167</v>
      </c>
      <c r="D27" s="11">
        <v>200</v>
      </c>
      <c r="E27" s="9">
        <v>8</v>
      </c>
      <c r="F27" s="9">
        <v>475</v>
      </c>
      <c r="G27" s="5" t="s">
        <v>19</v>
      </c>
      <c r="H27" s="9" t="s">
        <v>76</v>
      </c>
      <c r="I27" s="9" t="s">
        <v>168</v>
      </c>
      <c r="J27" s="12" t="s">
        <v>169</v>
      </c>
      <c r="K27" s="12" t="s">
        <v>50</v>
      </c>
      <c r="L27" s="10" t="s">
        <v>51</v>
      </c>
      <c r="M27" s="7" t="s">
        <v>170</v>
      </c>
      <c r="N27" s="8" t="s">
        <v>26</v>
      </c>
      <c r="O27" s="14">
        <v>37429</v>
      </c>
      <c r="P27" s="14">
        <f t="shared" si="0"/>
        <v>1123</v>
      </c>
      <c r="Q27" s="15">
        <f t="shared" si="1"/>
        <v>224600</v>
      </c>
    </row>
    <row r="28" spans="1:17" x14ac:dyDescent="0.25">
      <c r="A28" s="2">
        <v>27</v>
      </c>
      <c r="B28" s="3" t="s">
        <v>171</v>
      </c>
      <c r="C28" s="3" t="s">
        <v>172</v>
      </c>
      <c r="D28" s="4">
        <v>30</v>
      </c>
      <c r="E28" s="2">
        <v>10</v>
      </c>
      <c r="F28" s="2">
        <v>471</v>
      </c>
      <c r="G28" s="5" t="s">
        <v>19</v>
      </c>
      <c r="H28" s="2" t="s">
        <v>173</v>
      </c>
      <c r="I28" s="2" t="s">
        <v>67</v>
      </c>
      <c r="J28" s="6" t="s">
        <v>174</v>
      </c>
      <c r="K28" s="6" t="s">
        <v>50</v>
      </c>
      <c r="L28" s="3" t="s">
        <v>51</v>
      </c>
      <c r="M28" s="7" t="s">
        <v>175</v>
      </c>
      <c r="N28" s="8" t="s">
        <v>124</v>
      </c>
      <c r="O28" s="14">
        <v>113048</v>
      </c>
      <c r="P28" s="14">
        <f t="shared" si="0"/>
        <v>3391</v>
      </c>
      <c r="Q28" s="15">
        <f t="shared" si="1"/>
        <v>101730</v>
      </c>
    </row>
    <row r="29" spans="1:17" x14ac:dyDescent="0.25">
      <c r="A29" s="9">
        <v>28</v>
      </c>
      <c r="B29" s="10" t="s">
        <v>176</v>
      </c>
      <c r="C29" s="10" t="s">
        <v>177</v>
      </c>
      <c r="D29" s="11">
        <v>9</v>
      </c>
      <c r="E29" s="9">
        <v>10</v>
      </c>
      <c r="F29" s="9">
        <v>466</v>
      </c>
      <c r="G29" s="5" t="s">
        <v>19</v>
      </c>
      <c r="H29" s="9" t="s">
        <v>178</v>
      </c>
      <c r="I29" s="9" t="s">
        <v>43</v>
      </c>
      <c r="J29" s="12" t="s">
        <v>179</v>
      </c>
      <c r="K29" s="12" t="s">
        <v>50</v>
      </c>
      <c r="L29" s="10" t="s">
        <v>51</v>
      </c>
      <c r="M29" s="7" t="s">
        <v>180</v>
      </c>
      <c r="N29" s="8" t="s">
        <v>26</v>
      </c>
      <c r="O29" s="14">
        <v>43888</v>
      </c>
      <c r="P29" s="14">
        <f t="shared" si="0"/>
        <v>1317</v>
      </c>
      <c r="Q29" s="15">
        <f t="shared" si="1"/>
        <v>11853</v>
      </c>
    </row>
    <row r="30" spans="1:17" x14ac:dyDescent="0.25">
      <c r="A30" s="2">
        <v>29</v>
      </c>
      <c r="B30" s="3" t="s">
        <v>181</v>
      </c>
      <c r="C30" s="3" t="s">
        <v>182</v>
      </c>
      <c r="D30" s="4">
        <v>40</v>
      </c>
      <c r="E30" s="2">
        <v>22</v>
      </c>
      <c r="F30" s="2">
        <v>463</v>
      </c>
      <c r="G30" s="5" t="s">
        <v>19</v>
      </c>
      <c r="H30" s="2" t="s">
        <v>183</v>
      </c>
      <c r="I30" s="2" t="s">
        <v>184</v>
      </c>
      <c r="J30" s="6" t="s">
        <v>185</v>
      </c>
      <c r="K30" s="6" t="s">
        <v>50</v>
      </c>
      <c r="L30" s="3" t="s">
        <v>51</v>
      </c>
      <c r="M30" s="7" t="s">
        <v>186</v>
      </c>
      <c r="N30" s="8" t="s">
        <v>26</v>
      </c>
      <c r="O30" s="14">
        <v>31945</v>
      </c>
      <c r="P30" s="14">
        <f t="shared" si="0"/>
        <v>958</v>
      </c>
      <c r="Q30" s="15">
        <f t="shared" si="1"/>
        <v>38320</v>
      </c>
    </row>
    <row r="31" spans="1:17" x14ac:dyDescent="0.25">
      <c r="A31" s="9">
        <v>30</v>
      </c>
      <c r="B31" s="10" t="s">
        <v>187</v>
      </c>
      <c r="C31" s="10" t="s">
        <v>188</v>
      </c>
      <c r="D31" s="11">
        <v>41</v>
      </c>
      <c r="E31" s="9">
        <v>3</v>
      </c>
      <c r="F31" s="9">
        <v>458</v>
      </c>
      <c r="G31" s="5" t="s">
        <v>19</v>
      </c>
      <c r="H31" s="9" t="s">
        <v>189</v>
      </c>
      <c r="I31" s="9" t="s">
        <v>190</v>
      </c>
      <c r="J31" s="12" t="s">
        <v>191</v>
      </c>
      <c r="K31" s="12" t="s">
        <v>37</v>
      </c>
      <c r="L31" s="10" t="s">
        <v>38</v>
      </c>
      <c r="M31" s="7" t="s">
        <v>192</v>
      </c>
      <c r="N31" s="8" t="s">
        <v>19</v>
      </c>
      <c r="O31" s="14">
        <v>35021</v>
      </c>
      <c r="P31" s="14">
        <f t="shared" si="0"/>
        <v>1051</v>
      </c>
      <c r="Q31" s="15">
        <f t="shared" si="1"/>
        <v>43091</v>
      </c>
    </row>
    <row r="32" spans="1:17" x14ac:dyDescent="0.25">
      <c r="A32" s="2">
        <v>31</v>
      </c>
      <c r="B32" s="3" t="s">
        <v>193</v>
      </c>
      <c r="C32" s="3" t="s">
        <v>194</v>
      </c>
      <c r="D32" s="4">
        <v>70</v>
      </c>
      <c r="E32" s="2">
        <v>15</v>
      </c>
      <c r="F32" s="2">
        <v>452</v>
      </c>
      <c r="G32" s="5" t="s">
        <v>19</v>
      </c>
      <c r="H32" s="2" t="s">
        <v>195</v>
      </c>
      <c r="I32" s="2" t="s">
        <v>190</v>
      </c>
      <c r="J32" s="6" t="s">
        <v>196</v>
      </c>
      <c r="K32" s="6" t="s">
        <v>50</v>
      </c>
      <c r="L32" s="3" t="s">
        <v>51</v>
      </c>
      <c r="M32" s="26" t="s">
        <v>197</v>
      </c>
      <c r="N32" s="8" t="s">
        <v>19</v>
      </c>
      <c r="O32" s="14">
        <v>205005</v>
      </c>
      <c r="P32" s="14">
        <f t="shared" si="0"/>
        <v>6150</v>
      </c>
      <c r="Q32" s="15">
        <f t="shared" si="1"/>
        <v>430500</v>
      </c>
    </row>
    <row r="33" spans="1:17" x14ac:dyDescent="0.25">
      <c r="A33" s="9">
        <v>32</v>
      </c>
      <c r="B33" s="10" t="s">
        <v>198</v>
      </c>
      <c r="C33" s="10" t="s">
        <v>199</v>
      </c>
      <c r="D33" s="11">
        <v>4</v>
      </c>
      <c r="E33" s="9">
        <v>25</v>
      </c>
      <c r="F33" s="9">
        <v>436</v>
      </c>
      <c r="G33" s="5" t="s">
        <v>19</v>
      </c>
      <c r="H33" s="9" t="s">
        <v>200</v>
      </c>
      <c r="I33" s="9" t="s">
        <v>201</v>
      </c>
      <c r="J33" s="12" t="s">
        <v>202</v>
      </c>
      <c r="K33" s="12" t="s">
        <v>50</v>
      </c>
      <c r="L33" s="10" t="s">
        <v>51</v>
      </c>
      <c r="M33" s="7" t="s">
        <v>203</v>
      </c>
      <c r="N33" s="8" t="s">
        <v>26</v>
      </c>
      <c r="O33" s="14">
        <v>12864</v>
      </c>
      <c r="P33" s="14">
        <f t="shared" si="0"/>
        <v>386</v>
      </c>
      <c r="Q33" s="15">
        <f t="shared" si="1"/>
        <v>1544</v>
      </c>
    </row>
    <row r="34" spans="1:17" ht="25.5" customHeight="1" x14ac:dyDescent="0.25">
      <c r="A34" s="2">
        <v>33</v>
      </c>
      <c r="B34" s="3" t="s">
        <v>204</v>
      </c>
      <c r="C34" s="3" t="s">
        <v>205</v>
      </c>
      <c r="D34" s="4">
        <v>35</v>
      </c>
      <c r="E34" s="2">
        <v>7</v>
      </c>
      <c r="F34" s="2">
        <v>424</v>
      </c>
      <c r="G34" s="5" t="s">
        <v>19</v>
      </c>
      <c r="H34" s="2" t="s">
        <v>206</v>
      </c>
      <c r="I34" s="2" t="s">
        <v>110</v>
      </c>
      <c r="J34" s="6" t="s">
        <v>207</v>
      </c>
      <c r="K34" s="6" t="s">
        <v>50</v>
      </c>
      <c r="L34" s="3" t="s">
        <v>51</v>
      </c>
      <c r="M34" s="7" t="s">
        <v>208</v>
      </c>
      <c r="N34" s="8" t="s">
        <v>19</v>
      </c>
      <c r="O34" s="14">
        <v>207636</v>
      </c>
      <c r="P34" s="14">
        <f t="shared" ref="P34:P65" si="2">ROUND(O34*0.03,0)</f>
        <v>6229</v>
      </c>
      <c r="Q34" s="15">
        <f t="shared" ref="Q34:Q65" si="3">P34*D34</f>
        <v>218015</v>
      </c>
    </row>
    <row r="35" spans="1:17" x14ac:dyDescent="0.25">
      <c r="A35" s="9">
        <v>34</v>
      </c>
      <c r="B35" s="10" t="s">
        <v>209</v>
      </c>
      <c r="C35" s="10" t="s">
        <v>210</v>
      </c>
      <c r="D35" s="11">
        <v>50</v>
      </c>
      <c r="E35" s="9">
        <v>17</v>
      </c>
      <c r="F35" s="9">
        <v>423</v>
      </c>
      <c r="G35" s="5" t="s">
        <v>19</v>
      </c>
      <c r="H35" s="9" t="s">
        <v>93</v>
      </c>
      <c r="I35" s="9" t="s">
        <v>48</v>
      </c>
      <c r="J35" s="12" t="s">
        <v>211</v>
      </c>
      <c r="K35" s="12" t="s">
        <v>37</v>
      </c>
      <c r="L35" s="10" t="s">
        <v>38</v>
      </c>
      <c r="M35" s="7" t="s">
        <v>212</v>
      </c>
      <c r="N35" s="8" t="s">
        <v>19</v>
      </c>
      <c r="O35" s="14">
        <v>41907</v>
      </c>
      <c r="P35" s="14">
        <f t="shared" si="2"/>
        <v>1257</v>
      </c>
      <c r="Q35" s="15">
        <f t="shared" si="3"/>
        <v>62850</v>
      </c>
    </row>
    <row r="36" spans="1:17" ht="25.5" customHeight="1" x14ac:dyDescent="0.25">
      <c r="A36" s="2">
        <v>35</v>
      </c>
      <c r="B36" s="3" t="s">
        <v>213</v>
      </c>
      <c r="C36" s="3" t="s">
        <v>214</v>
      </c>
      <c r="D36" s="4">
        <v>35</v>
      </c>
      <c r="E36" s="2">
        <v>17</v>
      </c>
      <c r="F36" s="2">
        <v>403</v>
      </c>
      <c r="G36" s="5" t="s">
        <v>19</v>
      </c>
      <c r="H36" s="2" t="s">
        <v>215</v>
      </c>
      <c r="I36" s="2" t="s">
        <v>100</v>
      </c>
      <c r="J36" s="6" t="s">
        <v>216</v>
      </c>
      <c r="K36" s="6" t="s">
        <v>23</v>
      </c>
      <c r="L36" s="3" t="s">
        <v>24</v>
      </c>
      <c r="M36" s="7" t="s">
        <v>217</v>
      </c>
      <c r="N36" s="8" t="s">
        <v>124</v>
      </c>
      <c r="O36" s="14">
        <v>81659</v>
      </c>
      <c r="P36" s="14">
        <f t="shared" si="2"/>
        <v>2450</v>
      </c>
      <c r="Q36" s="15">
        <f t="shared" si="3"/>
        <v>85750</v>
      </c>
    </row>
    <row r="37" spans="1:17" x14ac:dyDescent="0.25">
      <c r="A37" s="9">
        <v>36</v>
      </c>
      <c r="B37" s="10" t="s">
        <v>218</v>
      </c>
      <c r="C37" s="10" t="s">
        <v>219</v>
      </c>
      <c r="D37" s="11">
        <v>99</v>
      </c>
      <c r="E37" s="9">
        <v>16</v>
      </c>
      <c r="F37" s="9">
        <v>394</v>
      </c>
      <c r="G37" s="5" t="s">
        <v>19</v>
      </c>
      <c r="H37" s="9" t="s">
        <v>220</v>
      </c>
      <c r="I37" s="9" t="s">
        <v>221</v>
      </c>
      <c r="J37" s="12" t="s">
        <v>222</v>
      </c>
      <c r="K37" s="12" t="s">
        <v>50</v>
      </c>
      <c r="L37" s="10" t="s">
        <v>51</v>
      </c>
      <c r="M37" s="7" t="s">
        <v>223</v>
      </c>
      <c r="N37" s="8" t="s">
        <v>26</v>
      </c>
      <c r="O37" s="14">
        <v>57358</v>
      </c>
      <c r="P37" s="14">
        <f t="shared" si="2"/>
        <v>1721</v>
      </c>
      <c r="Q37" s="15">
        <f t="shared" si="3"/>
        <v>170379</v>
      </c>
    </row>
    <row r="38" spans="1:17" x14ac:dyDescent="0.25">
      <c r="A38" s="2">
        <v>37</v>
      </c>
      <c r="B38" s="3" t="s">
        <v>224</v>
      </c>
      <c r="C38" s="3" t="s">
        <v>225</v>
      </c>
      <c r="D38" s="4">
        <v>27</v>
      </c>
      <c r="E38" s="2">
        <v>12</v>
      </c>
      <c r="F38" s="2">
        <v>362</v>
      </c>
      <c r="G38" s="5" t="s">
        <v>19</v>
      </c>
      <c r="H38" s="2" t="s">
        <v>226</v>
      </c>
      <c r="I38" s="2" t="s">
        <v>184</v>
      </c>
      <c r="J38" s="6" t="s">
        <v>227</v>
      </c>
      <c r="K38" s="6" t="s">
        <v>50</v>
      </c>
      <c r="L38" s="3" t="s">
        <v>51</v>
      </c>
      <c r="M38" s="7" t="s">
        <v>228</v>
      </c>
      <c r="N38" s="8" t="s">
        <v>26</v>
      </c>
      <c r="O38" s="14">
        <v>14676</v>
      </c>
      <c r="P38" s="14">
        <f t="shared" si="2"/>
        <v>440</v>
      </c>
      <c r="Q38" s="15">
        <f t="shared" si="3"/>
        <v>11880</v>
      </c>
    </row>
    <row r="39" spans="1:17" x14ac:dyDescent="0.25">
      <c r="A39" s="9">
        <v>38</v>
      </c>
      <c r="B39" s="10" t="s">
        <v>229</v>
      </c>
      <c r="C39" s="10" t="s">
        <v>230</v>
      </c>
      <c r="D39" s="11">
        <v>48</v>
      </c>
      <c r="E39" s="9">
        <v>1</v>
      </c>
      <c r="F39" s="9">
        <v>361</v>
      </c>
      <c r="G39" s="5" t="s">
        <v>19</v>
      </c>
      <c r="H39" s="9" t="s">
        <v>93</v>
      </c>
      <c r="I39" s="9" t="s">
        <v>231</v>
      </c>
      <c r="J39" s="12" t="s">
        <v>232</v>
      </c>
      <c r="K39" s="12" t="s">
        <v>50</v>
      </c>
      <c r="L39" s="10" t="s">
        <v>51</v>
      </c>
      <c r="M39" s="7" t="s">
        <v>233</v>
      </c>
      <c r="N39" s="8" t="s">
        <v>26</v>
      </c>
      <c r="O39" s="14">
        <v>3131</v>
      </c>
      <c r="P39" s="14">
        <f t="shared" si="2"/>
        <v>94</v>
      </c>
      <c r="Q39" s="15">
        <f t="shared" si="3"/>
        <v>4512</v>
      </c>
    </row>
    <row r="40" spans="1:17" x14ac:dyDescent="0.25">
      <c r="A40" s="2">
        <v>39</v>
      </c>
      <c r="B40" s="3" t="s">
        <v>234</v>
      </c>
      <c r="C40" s="3" t="s">
        <v>235</v>
      </c>
      <c r="D40" s="4">
        <v>58</v>
      </c>
      <c r="E40" s="2">
        <v>22</v>
      </c>
      <c r="F40" s="2">
        <v>359</v>
      </c>
      <c r="G40" s="5" t="s">
        <v>19</v>
      </c>
      <c r="H40" s="2" t="s">
        <v>20</v>
      </c>
      <c r="I40" s="2" t="s">
        <v>190</v>
      </c>
      <c r="J40" s="6" t="s">
        <v>236</v>
      </c>
      <c r="K40" s="6" t="s">
        <v>237</v>
      </c>
      <c r="L40" s="3" t="s">
        <v>238</v>
      </c>
      <c r="M40" s="7" t="s">
        <v>239</v>
      </c>
      <c r="N40" s="8" t="s">
        <v>124</v>
      </c>
      <c r="O40" s="14">
        <v>12001</v>
      </c>
      <c r="P40" s="14">
        <f t="shared" si="2"/>
        <v>360</v>
      </c>
      <c r="Q40" s="15">
        <f t="shared" si="3"/>
        <v>20880</v>
      </c>
    </row>
    <row r="41" spans="1:17" x14ac:dyDescent="0.25">
      <c r="A41" s="9">
        <v>40</v>
      </c>
      <c r="B41" s="10" t="s">
        <v>240</v>
      </c>
      <c r="C41" s="10" t="s">
        <v>241</v>
      </c>
      <c r="D41" s="11">
        <v>60</v>
      </c>
      <c r="E41" s="9">
        <v>11</v>
      </c>
      <c r="F41" s="9">
        <v>357</v>
      </c>
      <c r="G41" s="5" t="s">
        <v>19</v>
      </c>
      <c r="H41" s="9" t="s">
        <v>242</v>
      </c>
      <c r="I41" s="9" t="s">
        <v>88</v>
      </c>
      <c r="J41" s="12" t="s">
        <v>243</v>
      </c>
      <c r="K41" s="12" t="s">
        <v>50</v>
      </c>
      <c r="L41" s="10" t="s">
        <v>51</v>
      </c>
      <c r="M41" s="7" t="s">
        <v>244</v>
      </c>
      <c r="N41" s="8" t="s">
        <v>26</v>
      </c>
      <c r="O41" s="14">
        <v>21276</v>
      </c>
      <c r="P41" s="14">
        <f t="shared" si="2"/>
        <v>638</v>
      </c>
      <c r="Q41" s="15">
        <f t="shared" si="3"/>
        <v>38280</v>
      </c>
    </row>
    <row r="42" spans="1:17" x14ac:dyDescent="0.25">
      <c r="A42" s="2">
        <v>41</v>
      </c>
      <c r="B42" s="3" t="s">
        <v>245</v>
      </c>
      <c r="C42" s="3" t="s">
        <v>246</v>
      </c>
      <c r="D42" s="4">
        <v>80</v>
      </c>
      <c r="E42" s="2">
        <v>20</v>
      </c>
      <c r="F42" s="2">
        <v>354</v>
      </c>
      <c r="G42" s="5" t="s">
        <v>19</v>
      </c>
      <c r="H42" s="2" t="s">
        <v>247</v>
      </c>
      <c r="I42" s="2" t="s">
        <v>248</v>
      </c>
      <c r="J42" s="6" t="s">
        <v>249</v>
      </c>
      <c r="K42" s="6" t="s">
        <v>50</v>
      </c>
      <c r="L42" s="3" t="s">
        <v>51</v>
      </c>
      <c r="M42" s="7" t="s">
        <v>250</v>
      </c>
      <c r="N42" s="8" t="s">
        <v>26</v>
      </c>
      <c r="O42" s="14">
        <v>28121</v>
      </c>
      <c r="P42" s="14">
        <f t="shared" si="2"/>
        <v>844</v>
      </c>
      <c r="Q42" s="15">
        <f t="shared" si="3"/>
        <v>67520</v>
      </c>
    </row>
    <row r="43" spans="1:17" x14ac:dyDescent="0.25">
      <c r="A43" s="9">
        <v>42</v>
      </c>
      <c r="B43" s="10" t="s">
        <v>251</v>
      </c>
      <c r="C43" s="10" t="s">
        <v>252</v>
      </c>
      <c r="D43" s="11">
        <v>32</v>
      </c>
      <c r="E43" s="9">
        <v>5</v>
      </c>
      <c r="F43" s="9">
        <v>350</v>
      </c>
      <c r="G43" s="5" t="s">
        <v>19</v>
      </c>
      <c r="H43" s="9" t="s">
        <v>253</v>
      </c>
      <c r="I43" s="9" t="s">
        <v>231</v>
      </c>
      <c r="J43" s="12" t="s">
        <v>36</v>
      </c>
      <c r="K43" s="12" t="s">
        <v>50</v>
      </c>
      <c r="L43" s="10" t="s">
        <v>51</v>
      </c>
      <c r="M43" s="7" t="s">
        <v>254</v>
      </c>
      <c r="N43" s="8" t="s">
        <v>26</v>
      </c>
      <c r="O43" s="14">
        <v>1094</v>
      </c>
      <c r="P43" s="14">
        <f t="shared" si="2"/>
        <v>33</v>
      </c>
      <c r="Q43" s="15">
        <f t="shared" si="3"/>
        <v>1056</v>
      </c>
    </row>
    <row r="44" spans="1:17" x14ac:dyDescent="0.25">
      <c r="A44" s="2">
        <v>43</v>
      </c>
      <c r="B44" s="3" t="s">
        <v>255</v>
      </c>
      <c r="C44" s="3" t="s">
        <v>256</v>
      </c>
      <c r="D44" s="4">
        <v>43</v>
      </c>
      <c r="E44" s="2">
        <v>4</v>
      </c>
      <c r="F44" s="2">
        <v>347</v>
      </c>
      <c r="G44" s="5" t="s">
        <v>19</v>
      </c>
      <c r="H44" s="2" t="s">
        <v>257</v>
      </c>
      <c r="I44" s="2" t="s">
        <v>157</v>
      </c>
      <c r="J44" s="6" t="s">
        <v>36</v>
      </c>
      <c r="K44" s="6" t="s">
        <v>50</v>
      </c>
      <c r="L44" s="3" t="s">
        <v>51</v>
      </c>
      <c r="M44" s="7" t="s">
        <v>258</v>
      </c>
      <c r="N44" s="8" t="s">
        <v>26</v>
      </c>
      <c r="O44" s="14">
        <v>92135</v>
      </c>
      <c r="P44" s="14">
        <f t="shared" si="2"/>
        <v>2764</v>
      </c>
      <c r="Q44" s="15">
        <f t="shared" si="3"/>
        <v>118852</v>
      </c>
    </row>
    <row r="45" spans="1:17" x14ac:dyDescent="0.25">
      <c r="A45" s="9">
        <v>44</v>
      </c>
      <c r="B45" s="10" t="s">
        <v>259</v>
      </c>
      <c r="C45" s="10" t="s">
        <v>260</v>
      </c>
      <c r="D45" s="11">
        <v>75</v>
      </c>
      <c r="E45" s="9">
        <v>12</v>
      </c>
      <c r="F45" s="9">
        <v>336</v>
      </c>
      <c r="G45" s="5" t="s">
        <v>19</v>
      </c>
      <c r="H45" s="9" t="s">
        <v>261</v>
      </c>
      <c r="I45" s="9" t="s">
        <v>43</v>
      </c>
      <c r="J45" s="12" t="s">
        <v>262</v>
      </c>
      <c r="K45" s="12" t="s">
        <v>23</v>
      </c>
      <c r="L45" s="10" t="s">
        <v>24</v>
      </c>
      <c r="M45" s="7" t="s">
        <v>263</v>
      </c>
      <c r="N45" s="8" t="s">
        <v>19</v>
      </c>
      <c r="O45" s="14">
        <v>18323</v>
      </c>
      <c r="P45" s="14">
        <f t="shared" si="2"/>
        <v>550</v>
      </c>
      <c r="Q45" s="15">
        <f t="shared" si="3"/>
        <v>41250</v>
      </c>
    </row>
    <row r="46" spans="1:17" x14ac:dyDescent="0.25">
      <c r="A46" s="2">
        <v>45</v>
      </c>
      <c r="B46" s="3" t="s">
        <v>264</v>
      </c>
      <c r="C46" s="3" t="s">
        <v>265</v>
      </c>
      <c r="D46" s="4">
        <v>40</v>
      </c>
      <c r="E46" s="2">
        <v>9</v>
      </c>
      <c r="F46" s="2">
        <v>320</v>
      </c>
      <c r="G46" s="5" t="s">
        <v>19</v>
      </c>
      <c r="H46" s="2" t="s">
        <v>121</v>
      </c>
      <c r="I46" s="2" t="s">
        <v>48</v>
      </c>
      <c r="J46" s="6" t="s">
        <v>179</v>
      </c>
      <c r="K46" s="6" t="s">
        <v>50</v>
      </c>
      <c r="L46" s="3" t="s">
        <v>51</v>
      </c>
      <c r="M46" s="7" t="s">
        <v>266</v>
      </c>
      <c r="N46" s="8" t="s">
        <v>26</v>
      </c>
      <c r="O46" s="14">
        <v>150157</v>
      </c>
      <c r="P46" s="14">
        <f t="shared" si="2"/>
        <v>4505</v>
      </c>
      <c r="Q46" s="15">
        <f t="shared" si="3"/>
        <v>180200</v>
      </c>
    </row>
    <row r="47" spans="1:17" x14ac:dyDescent="0.25">
      <c r="A47" s="9">
        <v>46</v>
      </c>
      <c r="B47" s="10" t="s">
        <v>267</v>
      </c>
      <c r="C47" s="10" t="s">
        <v>267</v>
      </c>
      <c r="D47" s="11">
        <v>66</v>
      </c>
      <c r="E47" s="9">
        <v>9</v>
      </c>
      <c r="F47" s="9">
        <v>318</v>
      </c>
      <c r="G47" s="5" t="s">
        <v>19</v>
      </c>
      <c r="H47" s="9" t="s">
        <v>268</v>
      </c>
      <c r="I47" s="9" t="s">
        <v>128</v>
      </c>
      <c r="J47" s="12" t="s">
        <v>269</v>
      </c>
      <c r="K47" s="12" t="s">
        <v>50</v>
      </c>
      <c r="L47" s="10" t="s">
        <v>51</v>
      </c>
      <c r="M47" s="7" t="s">
        <v>270</v>
      </c>
      <c r="N47" s="8" t="s">
        <v>19</v>
      </c>
      <c r="O47" s="14">
        <v>19510</v>
      </c>
      <c r="P47" s="14">
        <f t="shared" si="2"/>
        <v>585</v>
      </c>
      <c r="Q47" s="15">
        <f t="shared" si="3"/>
        <v>38610</v>
      </c>
    </row>
    <row r="48" spans="1:17" x14ac:dyDescent="0.25">
      <c r="A48" s="2">
        <v>47</v>
      </c>
      <c r="B48" s="3" t="s">
        <v>271</v>
      </c>
      <c r="C48" s="3" t="s">
        <v>272</v>
      </c>
      <c r="D48" s="4">
        <v>20</v>
      </c>
      <c r="E48" s="2">
        <v>16</v>
      </c>
      <c r="F48" s="2">
        <v>316</v>
      </c>
      <c r="G48" s="5" t="s">
        <v>19</v>
      </c>
      <c r="H48" s="2" t="s">
        <v>127</v>
      </c>
      <c r="I48" s="2" t="s">
        <v>273</v>
      </c>
      <c r="J48" s="6" t="s">
        <v>36</v>
      </c>
      <c r="K48" s="6" t="s">
        <v>50</v>
      </c>
      <c r="L48" s="3" t="s">
        <v>51</v>
      </c>
      <c r="M48" s="7" t="s">
        <v>274</v>
      </c>
      <c r="N48" s="8" t="s">
        <v>26</v>
      </c>
      <c r="O48" s="14">
        <v>590</v>
      </c>
      <c r="P48" s="14">
        <f t="shared" si="2"/>
        <v>18</v>
      </c>
      <c r="Q48" s="15">
        <f t="shared" si="3"/>
        <v>360</v>
      </c>
    </row>
    <row r="49" spans="1:17" x14ac:dyDescent="0.25">
      <c r="A49" s="9">
        <v>48</v>
      </c>
      <c r="B49" s="10" t="s">
        <v>275</v>
      </c>
      <c r="C49" s="10" t="s">
        <v>276</v>
      </c>
      <c r="D49" s="11">
        <v>10</v>
      </c>
      <c r="E49" s="9">
        <v>2</v>
      </c>
      <c r="F49" s="9">
        <v>309</v>
      </c>
      <c r="G49" s="5" t="s">
        <v>19</v>
      </c>
      <c r="H49" s="9" t="s">
        <v>220</v>
      </c>
      <c r="I49" s="9" t="s">
        <v>110</v>
      </c>
      <c r="J49" s="12" t="s">
        <v>129</v>
      </c>
      <c r="K49" s="12" t="s">
        <v>50</v>
      </c>
      <c r="L49" s="10" t="s">
        <v>51</v>
      </c>
      <c r="M49" s="7" t="s">
        <v>277</v>
      </c>
      <c r="N49" s="8" t="s">
        <v>26</v>
      </c>
      <c r="O49" s="14">
        <v>48129</v>
      </c>
      <c r="P49" s="14">
        <f t="shared" si="2"/>
        <v>1444</v>
      </c>
      <c r="Q49" s="15">
        <f t="shared" si="3"/>
        <v>14440</v>
      </c>
    </row>
    <row r="50" spans="1:17" x14ac:dyDescent="0.25">
      <c r="A50" s="2">
        <v>49</v>
      </c>
      <c r="B50" s="3" t="s">
        <v>278</v>
      </c>
      <c r="C50" s="3" t="s">
        <v>279</v>
      </c>
      <c r="D50" s="4">
        <v>35</v>
      </c>
      <c r="E50" s="2">
        <v>8</v>
      </c>
      <c r="F50" s="2">
        <v>309</v>
      </c>
      <c r="G50" s="5" t="s">
        <v>19</v>
      </c>
      <c r="H50" s="2" t="s">
        <v>220</v>
      </c>
      <c r="I50" s="2" t="s">
        <v>280</v>
      </c>
      <c r="J50" s="6" t="s">
        <v>281</v>
      </c>
      <c r="K50" s="6" t="s">
        <v>50</v>
      </c>
      <c r="L50" s="3" t="s">
        <v>51</v>
      </c>
      <c r="M50" s="7" t="s">
        <v>282</v>
      </c>
      <c r="N50" s="8" t="s">
        <v>26</v>
      </c>
      <c r="O50" s="14">
        <v>20529</v>
      </c>
      <c r="P50" s="14">
        <f t="shared" si="2"/>
        <v>616</v>
      </c>
      <c r="Q50" s="15">
        <f t="shared" si="3"/>
        <v>21560</v>
      </c>
    </row>
    <row r="51" spans="1:17" x14ac:dyDescent="0.25">
      <c r="A51" s="9">
        <v>50</v>
      </c>
      <c r="B51" s="10" t="s">
        <v>283</v>
      </c>
      <c r="C51" s="10" t="s">
        <v>284</v>
      </c>
      <c r="D51" s="11">
        <v>133</v>
      </c>
      <c r="E51" s="9">
        <v>8</v>
      </c>
      <c r="F51" s="9">
        <v>307</v>
      </c>
      <c r="G51" s="5" t="s">
        <v>19</v>
      </c>
      <c r="H51" s="9" t="s">
        <v>127</v>
      </c>
      <c r="I51" s="9" t="s">
        <v>35</v>
      </c>
      <c r="J51" s="12" t="s">
        <v>185</v>
      </c>
      <c r="K51" s="12" t="s">
        <v>50</v>
      </c>
      <c r="L51" s="10" t="s">
        <v>51</v>
      </c>
      <c r="M51" s="7" t="s">
        <v>285</v>
      </c>
      <c r="N51" s="8" t="s">
        <v>26</v>
      </c>
      <c r="O51" s="14">
        <v>40022</v>
      </c>
      <c r="P51" s="14">
        <f t="shared" si="2"/>
        <v>1201</v>
      </c>
      <c r="Q51" s="15">
        <f t="shared" si="3"/>
        <v>159733</v>
      </c>
    </row>
    <row r="52" spans="1:17" ht="25.5" customHeight="1" x14ac:dyDescent="0.25">
      <c r="A52" s="2">
        <v>51</v>
      </c>
      <c r="B52" s="3" t="s">
        <v>286</v>
      </c>
      <c r="C52" s="3" t="s">
        <v>287</v>
      </c>
      <c r="D52" s="4">
        <v>55</v>
      </c>
      <c r="E52" s="2">
        <v>13</v>
      </c>
      <c r="F52" s="2">
        <v>298</v>
      </c>
      <c r="G52" s="5" t="s">
        <v>19</v>
      </c>
      <c r="H52" s="2" t="s">
        <v>288</v>
      </c>
      <c r="I52" s="2" t="s">
        <v>116</v>
      </c>
      <c r="J52" s="6" t="s">
        <v>134</v>
      </c>
      <c r="K52" s="6" t="s">
        <v>37</v>
      </c>
      <c r="L52" s="3" t="s">
        <v>38</v>
      </c>
      <c r="M52" s="7" t="s">
        <v>289</v>
      </c>
      <c r="N52" s="8" t="s">
        <v>26</v>
      </c>
      <c r="O52" s="14">
        <v>333</v>
      </c>
      <c r="P52" s="14">
        <f t="shared" si="2"/>
        <v>10</v>
      </c>
      <c r="Q52" s="15">
        <f t="shared" si="3"/>
        <v>550</v>
      </c>
    </row>
    <row r="53" spans="1:17" ht="25.5" customHeight="1" x14ac:dyDescent="0.25">
      <c r="A53" s="9">
        <v>52</v>
      </c>
      <c r="B53" s="10" t="s">
        <v>286</v>
      </c>
      <c r="C53" s="10" t="s">
        <v>287</v>
      </c>
      <c r="D53" s="11">
        <v>55</v>
      </c>
      <c r="E53" s="9">
        <v>13</v>
      </c>
      <c r="F53" s="9">
        <v>298</v>
      </c>
      <c r="G53" s="5" t="s">
        <v>19</v>
      </c>
      <c r="H53" s="9" t="s">
        <v>288</v>
      </c>
      <c r="I53" s="9" t="s">
        <v>116</v>
      </c>
      <c r="J53" s="12" t="s">
        <v>134</v>
      </c>
      <c r="K53" s="12" t="s">
        <v>37</v>
      </c>
      <c r="L53" s="10" t="s">
        <v>38</v>
      </c>
      <c r="M53" s="7" t="s">
        <v>290</v>
      </c>
      <c r="N53" s="8" t="s">
        <v>26</v>
      </c>
      <c r="O53" s="14">
        <v>512</v>
      </c>
      <c r="P53" s="14">
        <f t="shared" si="2"/>
        <v>15</v>
      </c>
      <c r="Q53" s="15">
        <f t="shared" si="3"/>
        <v>825</v>
      </c>
    </row>
    <row r="54" spans="1:17" x14ac:dyDescent="0.25">
      <c r="A54" s="2">
        <v>53</v>
      </c>
      <c r="B54" s="3" t="s">
        <v>291</v>
      </c>
      <c r="C54" s="3" t="s">
        <v>292</v>
      </c>
      <c r="D54" s="4">
        <v>899</v>
      </c>
      <c r="E54" s="2">
        <v>5</v>
      </c>
      <c r="F54" s="2">
        <v>295</v>
      </c>
      <c r="G54" s="5" t="s">
        <v>19</v>
      </c>
      <c r="H54" s="2" t="s">
        <v>293</v>
      </c>
      <c r="I54" s="2" t="s">
        <v>294</v>
      </c>
      <c r="J54" s="6" t="s">
        <v>295</v>
      </c>
      <c r="K54" s="6" t="s">
        <v>37</v>
      </c>
      <c r="L54" s="3" t="s">
        <v>38</v>
      </c>
      <c r="M54" s="7" t="s">
        <v>296</v>
      </c>
      <c r="N54" s="8" t="s">
        <v>26</v>
      </c>
      <c r="O54" s="14">
        <v>16601</v>
      </c>
      <c r="P54" s="14">
        <f t="shared" si="2"/>
        <v>498</v>
      </c>
      <c r="Q54" s="15">
        <f t="shared" si="3"/>
        <v>447702</v>
      </c>
    </row>
    <row r="55" spans="1:17" x14ac:dyDescent="0.25">
      <c r="A55" s="9">
        <v>54</v>
      </c>
      <c r="B55" s="10" t="s">
        <v>297</v>
      </c>
      <c r="C55" s="10" t="s">
        <v>298</v>
      </c>
      <c r="D55" s="11">
        <v>323</v>
      </c>
      <c r="E55" s="9">
        <v>1</v>
      </c>
      <c r="F55" s="9">
        <v>287</v>
      </c>
      <c r="G55" s="5" t="s">
        <v>19</v>
      </c>
      <c r="H55" s="9" t="s">
        <v>189</v>
      </c>
      <c r="I55" s="9" t="s">
        <v>133</v>
      </c>
      <c r="J55" s="12" t="s">
        <v>299</v>
      </c>
      <c r="K55" s="12" t="s">
        <v>50</v>
      </c>
      <c r="L55" s="10" t="s">
        <v>51</v>
      </c>
      <c r="M55" s="7" t="s">
        <v>300</v>
      </c>
      <c r="N55" s="8" t="s">
        <v>26</v>
      </c>
      <c r="O55" s="14">
        <v>25217</v>
      </c>
      <c r="P55" s="14">
        <f t="shared" si="2"/>
        <v>757</v>
      </c>
      <c r="Q55" s="15">
        <f t="shared" si="3"/>
        <v>244511</v>
      </c>
    </row>
    <row r="56" spans="1:17" x14ac:dyDescent="0.25">
      <c r="A56" s="2">
        <v>55</v>
      </c>
      <c r="B56" s="3" t="s">
        <v>301</v>
      </c>
      <c r="C56" s="3" t="s">
        <v>302</v>
      </c>
      <c r="D56" s="4">
        <v>80</v>
      </c>
      <c r="E56" s="2">
        <v>1</v>
      </c>
      <c r="F56" s="2">
        <v>286</v>
      </c>
      <c r="G56" s="5" t="s">
        <v>19</v>
      </c>
      <c r="H56" s="2" t="s">
        <v>293</v>
      </c>
      <c r="I56" s="2" t="s">
        <v>303</v>
      </c>
      <c r="J56" s="6" t="s">
        <v>304</v>
      </c>
      <c r="K56" s="6" t="s">
        <v>23</v>
      </c>
      <c r="L56" s="3" t="s">
        <v>24</v>
      </c>
      <c r="M56" s="7" t="s">
        <v>305</v>
      </c>
      <c r="N56" s="8" t="s">
        <v>26</v>
      </c>
      <c r="O56" s="14">
        <v>90768</v>
      </c>
      <c r="P56" s="14">
        <f t="shared" si="2"/>
        <v>2723</v>
      </c>
      <c r="Q56" s="15">
        <f t="shared" si="3"/>
        <v>217840</v>
      </c>
    </row>
    <row r="57" spans="1:17" x14ac:dyDescent="0.25">
      <c r="A57" s="9">
        <v>56</v>
      </c>
      <c r="B57" s="10" t="s">
        <v>306</v>
      </c>
      <c r="C57" s="10" t="s">
        <v>307</v>
      </c>
      <c r="D57" s="11">
        <v>75</v>
      </c>
      <c r="E57" s="9">
        <v>17</v>
      </c>
      <c r="F57" s="9">
        <v>280</v>
      </c>
      <c r="G57" s="5" t="s">
        <v>19</v>
      </c>
      <c r="H57" s="9" t="s">
        <v>308</v>
      </c>
      <c r="I57" s="9" t="s">
        <v>157</v>
      </c>
      <c r="J57" s="12" t="s">
        <v>179</v>
      </c>
      <c r="K57" s="12" t="s">
        <v>50</v>
      </c>
      <c r="L57" s="10" t="s">
        <v>51</v>
      </c>
      <c r="M57" s="17" t="s">
        <v>309</v>
      </c>
      <c r="N57" s="8" t="s">
        <v>26</v>
      </c>
      <c r="O57" s="14">
        <v>8009</v>
      </c>
      <c r="P57" s="14">
        <f t="shared" si="2"/>
        <v>240</v>
      </c>
      <c r="Q57" s="15">
        <f t="shared" si="3"/>
        <v>18000</v>
      </c>
    </row>
    <row r="58" spans="1:17" ht="25.5" customHeight="1" x14ac:dyDescent="0.25">
      <c r="A58" s="2">
        <v>57</v>
      </c>
      <c r="B58" s="3" t="s">
        <v>310</v>
      </c>
      <c r="C58" s="3" t="s">
        <v>311</v>
      </c>
      <c r="D58" s="4">
        <v>28</v>
      </c>
      <c r="E58" s="2">
        <v>8</v>
      </c>
      <c r="F58" s="2">
        <v>278</v>
      </c>
      <c r="G58" s="5" t="s">
        <v>19</v>
      </c>
      <c r="H58" s="2" t="s">
        <v>127</v>
      </c>
      <c r="I58" s="2" t="s">
        <v>151</v>
      </c>
      <c r="J58" s="6" t="s">
        <v>36</v>
      </c>
      <c r="K58" s="6" t="s">
        <v>50</v>
      </c>
      <c r="L58" s="3" t="s">
        <v>51</v>
      </c>
      <c r="M58" s="7" t="s">
        <v>312</v>
      </c>
      <c r="N58" s="8" t="s">
        <v>26</v>
      </c>
      <c r="O58" s="14">
        <v>6472</v>
      </c>
      <c r="P58" s="14">
        <f t="shared" si="2"/>
        <v>194</v>
      </c>
      <c r="Q58" s="15">
        <f t="shared" si="3"/>
        <v>5432</v>
      </c>
    </row>
    <row r="59" spans="1:17" x14ac:dyDescent="0.25">
      <c r="A59" s="9">
        <v>58</v>
      </c>
      <c r="B59" s="10" t="s">
        <v>313</v>
      </c>
      <c r="C59" s="10" t="s">
        <v>314</v>
      </c>
      <c r="D59" s="11">
        <v>31</v>
      </c>
      <c r="E59" s="9">
        <v>12</v>
      </c>
      <c r="F59" s="9">
        <v>269</v>
      </c>
      <c r="G59" s="5" t="s">
        <v>19</v>
      </c>
      <c r="H59" s="9" t="s">
        <v>99</v>
      </c>
      <c r="I59" s="9" t="s">
        <v>315</v>
      </c>
      <c r="J59" s="12" t="s">
        <v>316</v>
      </c>
      <c r="K59" s="12" t="s">
        <v>50</v>
      </c>
      <c r="L59" s="10" t="s">
        <v>51</v>
      </c>
      <c r="M59" s="7" t="s">
        <v>317</v>
      </c>
      <c r="N59" s="8" t="s">
        <v>26</v>
      </c>
      <c r="O59" s="14">
        <v>13449</v>
      </c>
      <c r="P59" s="14">
        <f t="shared" si="2"/>
        <v>403</v>
      </c>
      <c r="Q59" s="15">
        <f t="shared" si="3"/>
        <v>12493</v>
      </c>
    </row>
    <row r="60" spans="1:17" ht="25.5" customHeight="1" x14ac:dyDescent="0.25">
      <c r="A60" s="2">
        <v>59</v>
      </c>
      <c r="B60" s="3" t="s">
        <v>318</v>
      </c>
      <c r="C60" s="3" t="s">
        <v>319</v>
      </c>
      <c r="D60" s="4">
        <v>27</v>
      </c>
      <c r="E60" s="2">
        <v>21</v>
      </c>
      <c r="F60" s="2">
        <v>268</v>
      </c>
      <c r="G60" s="5" t="s">
        <v>19</v>
      </c>
      <c r="H60" s="2" t="s">
        <v>320</v>
      </c>
      <c r="I60" s="2" t="s">
        <v>294</v>
      </c>
      <c r="J60" s="6" t="s">
        <v>36</v>
      </c>
      <c r="K60" s="6" t="s">
        <v>23</v>
      </c>
      <c r="L60" s="3" t="s">
        <v>24</v>
      </c>
      <c r="M60" s="7" t="s">
        <v>321</v>
      </c>
      <c r="N60" s="8" t="s">
        <v>26</v>
      </c>
      <c r="O60" s="14">
        <v>19054</v>
      </c>
      <c r="P60" s="14">
        <f t="shared" si="2"/>
        <v>572</v>
      </c>
      <c r="Q60" s="15">
        <f t="shared" si="3"/>
        <v>15444</v>
      </c>
    </row>
    <row r="61" spans="1:17" ht="25.5" customHeight="1" x14ac:dyDescent="0.25">
      <c r="A61" s="9">
        <v>60</v>
      </c>
      <c r="B61" s="10" t="s">
        <v>322</v>
      </c>
      <c r="C61" s="10" t="s">
        <v>323</v>
      </c>
      <c r="D61" s="11">
        <v>49</v>
      </c>
      <c r="E61" s="9">
        <v>1</v>
      </c>
      <c r="F61" s="9">
        <v>229</v>
      </c>
      <c r="G61" s="5" t="s">
        <v>19</v>
      </c>
      <c r="H61" s="9" t="s">
        <v>324</v>
      </c>
      <c r="I61" s="9" t="s">
        <v>325</v>
      </c>
      <c r="J61" s="12" t="s">
        <v>134</v>
      </c>
      <c r="K61" s="12" t="s">
        <v>23</v>
      </c>
      <c r="L61" s="10" t="s">
        <v>24</v>
      </c>
      <c r="M61" s="7" t="s">
        <v>326</v>
      </c>
      <c r="N61" s="8" t="s">
        <v>26</v>
      </c>
      <c r="O61" s="14">
        <v>7</v>
      </c>
      <c r="P61" s="14">
        <f t="shared" si="2"/>
        <v>0</v>
      </c>
      <c r="Q61" s="15">
        <f t="shared" si="3"/>
        <v>0</v>
      </c>
    </row>
    <row r="62" spans="1:17" x14ac:dyDescent="0.25">
      <c r="A62" s="2">
        <v>61</v>
      </c>
      <c r="B62" s="3" t="s">
        <v>327</v>
      </c>
      <c r="C62" s="3" t="s">
        <v>328</v>
      </c>
      <c r="D62" s="4">
        <v>55</v>
      </c>
      <c r="E62" s="2">
        <v>3</v>
      </c>
      <c r="F62" s="2">
        <v>229</v>
      </c>
      <c r="G62" s="5" t="s">
        <v>19</v>
      </c>
      <c r="H62" s="2" t="s">
        <v>324</v>
      </c>
      <c r="I62" s="2" t="s">
        <v>329</v>
      </c>
      <c r="J62" s="6" t="s">
        <v>134</v>
      </c>
      <c r="K62" s="6" t="s">
        <v>50</v>
      </c>
      <c r="L62" s="3" t="s">
        <v>51</v>
      </c>
      <c r="M62" s="7" t="s">
        <v>330</v>
      </c>
      <c r="N62" s="8" t="s">
        <v>26</v>
      </c>
      <c r="O62" s="14">
        <v>56</v>
      </c>
      <c r="P62" s="14">
        <f t="shared" si="2"/>
        <v>2</v>
      </c>
      <c r="Q62" s="15">
        <f t="shared" si="3"/>
        <v>110</v>
      </c>
    </row>
    <row r="63" spans="1:17" x14ac:dyDescent="0.25">
      <c r="A63" s="9">
        <v>62</v>
      </c>
      <c r="B63" s="10" t="s">
        <v>331</v>
      </c>
      <c r="C63" s="10" t="s">
        <v>332</v>
      </c>
      <c r="D63" s="11">
        <v>55</v>
      </c>
      <c r="E63" s="9">
        <v>1</v>
      </c>
      <c r="F63" s="9">
        <v>229</v>
      </c>
      <c r="G63" s="5" t="s">
        <v>19</v>
      </c>
      <c r="H63" s="9" t="s">
        <v>324</v>
      </c>
      <c r="I63" s="9" t="s">
        <v>157</v>
      </c>
      <c r="J63" s="12" t="s">
        <v>333</v>
      </c>
      <c r="K63" s="12" t="s">
        <v>23</v>
      </c>
      <c r="L63" s="10" t="s">
        <v>24</v>
      </c>
      <c r="M63" s="7" t="s">
        <v>334</v>
      </c>
      <c r="N63" s="8" t="s">
        <v>26</v>
      </c>
      <c r="O63" s="14">
        <v>86</v>
      </c>
      <c r="P63" s="14">
        <f t="shared" si="2"/>
        <v>3</v>
      </c>
      <c r="Q63" s="15">
        <f t="shared" si="3"/>
        <v>165</v>
      </c>
    </row>
    <row r="64" spans="1:17" ht="25.5" customHeight="1" x14ac:dyDescent="0.25">
      <c r="A64" s="2">
        <v>63</v>
      </c>
      <c r="B64" s="3" t="s">
        <v>335</v>
      </c>
      <c r="C64" s="3" t="s">
        <v>336</v>
      </c>
      <c r="D64" s="4">
        <v>17</v>
      </c>
      <c r="E64" s="2">
        <v>13</v>
      </c>
      <c r="F64" s="2">
        <v>221</v>
      </c>
      <c r="G64" s="5" t="s">
        <v>19</v>
      </c>
      <c r="H64" s="2" t="s">
        <v>337</v>
      </c>
      <c r="I64" s="2" t="s">
        <v>329</v>
      </c>
      <c r="J64" s="6" t="s">
        <v>338</v>
      </c>
      <c r="K64" s="6" t="s">
        <v>50</v>
      </c>
      <c r="L64" s="3" t="s">
        <v>51</v>
      </c>
      <c r="M64" s="7" t="s">
        <v>339</v>
      </c>
      <c r="N64" s="8" t="s">
        <v>19</v>
      </c>
      <c r="O64" s="14">
        <v>38594</v>
      </c>
      <c r="P64" s="14">
        <f t="shared" si="2"/>
        <v>1158</v>
      </c>
      <c r="Q64" s="15">
        <f t="shared" si="3"/>
        <v>19686</v>
      </c>
    </row>
    <row r="65" spans="1:17" x14ac:dyDescent="0.25">
      <c r="A65" s="9">
        <v>64</v>
      </c>
      <c r="B65" s="10" t="s">
        <v>340</v>
      </c>
      <c r="C65" s="10" t="s">
        <v>327</v>
      </c>
      <c r="D65" s="11">
        <v>55</v>
      </c>
      <c r="E65" s="9">
        <v>3</v>
      </c>
      <c r="F65" s="9">
        <v>215</v>
      </c>
      <c r="G65" s="5" t="s">
        <v>19</v>
      </c>
      <c r="H65" s="9" t="s">
        <v>341</v>
      </c>
      <c r="I65" s="9" t="s">
        <v>325</v>
      </c>
      <c r="J65" s="12" t="s">
        <v>134</v>
      </c>
      <c r="K65" s="12" t="s">
        <v>50</v>
      </c>
      <c r="L65" s="10" t="s">
        <v>51</v>
      </c>
      <c r="M65" s="7" t="s">
        <v>342</v>
      </c>
      <c r="N65" s="8" t="s">
        <v>26</v>
      </c>
      <c r="O65" s="14">
        <v>53</v>
      </c>
      <c r="P65" s="14">
        <f t="shared" si="2"/>
        <v>2</v>
      </c>
      <c r="Q65" s="15">
        <f t="shared" si="3"/>
        <v>110</v>
      </c>
    </row>
    <row r="66" spans="1:17" x14ac:dyDescent="0.25">
      <c r="A66" s="2">
        <v>65</v>
      </c>
      <c r="B66" s="3" t="s">
        <v>343</v>
      </c>
      <c r="C66" s="3" t="s">
        <v>344</v>
      </c>
      <c r="D66" s="4">
        <v>30</v>
      </c>
      <c r="E66" s="2">
        <v>3</v>
      </c>
      <c r="F66" s="2">
        <v>198</v>
      </c>
      <c r="G66" s="5" t="s">
        <v>19</v>
      </c>
      <c r="H66" s="2" t="s">
        <v>34</v>
      </c>
      <c r="I66" s="2" t="s">
        <v>329</v>
      </c>
      <c r="J66" s="6" t="s">
        <v>333</v>
      </c>
      <c r="K66" s="6" t="s">
        <v>23</v>
      </c>
      <c r="L66" s="3" t="s">
        <v>24</v>
      </c>
      <c r="M66" s="7" t="s">
        <v>345</v>
      </c>
      <c r="N66" s="8" t="s">
        <v>26</v>
      </c>
      <c r="O66" s="14">
        <v>1118</v>
      </c>
      <c r="P66" s="14">
        <f t="shared" ref="P66:P97" si="4">ROUND(O66*0.03,0)</f>
        <v>34</v>
      </c>
      <c r="Q66" s="15">
        <f t="shared" ref="Q66:Q97" si="5">P66*D66</f>
        <v>1020</v>
      </c>
    </row>
    <row r="67" spans="1:17" x14ac:dyDescent="0.25">
      <c r="A67" s="9">
        <v>66</v>
      </c>
      <c r="B67" s="10" t="s">
        <v>346</v>
      </c>
      <c r="C67" s="10" t="s">
        <v>347</v>
      </c>
      <c r="D67" s="11">
        <v>55</v>
      </c>
      <c r="E67" s="9">
        <v>4</v>
      </c>
      <c r="F67" s="9">
        <v>180</v>
      </c>
      <c r="G67" s="5" t="s">
        <v>19</v>
      </c>
      <c r="H67" s="9" t="s">
        <v>348</v>
      </c>
      <c r="I67" s="9" t="s">
        <v>329</v>
      </c>
      <c r="J67" s="12" t="s">
        <v>134</v>
      </c>
      <c r="K67" s="12" t="s">
        <v>37</v>
      </c>
      <c r="L67" s="10" t="s">
        <v>38</v>
      </c>
      <c r="M67" s="7" t="s">
        <v>349</v>
      </c>
      <c r="N67" s="8" t="s">
        <v>26</v>
      </c>
      <c r="O67" s="14">
        <v>366</v>
      </c>
      <c r="P67" s="14">
        <f t="shared" si="4"/>
        <v>11</v>
      </c>
      <c r="Q67" s="15">
        <f t="shared" si="5"/>
        <v>605</v>
      </c>
    </row>
    <row r="68" spans="1:17" x14ac:dyDescent="0.25">
      <c r="A68" s="2">
        <v>67</v>
      </c>
      <c r="B68" s="3" t="s">
        <v>350</v>
      </c>
      <c r="C68" s="3" t="s">
        <v>351</v>
      </c>
      <c r="D68" s="4">
        <v>79900</v>
      </c>
      <c r="E68" s="2">
        <v>9</v>
      </c>
      <c r="F68" s="2">
        <v>171</v>
      </c>
      <c r="G68" s="5" t="s">
        <v>19</v>
      </c>
      <c r="H68" s="2" t="s">
        <v>352</v>
      </c>
      <c r="I68" s="2" t="s">
        <v>21</v>
      </c>
      <c r="J68" s="6" t="s">
        <v>353</v>
      </c>
      <c r="K68" s="6" t="s">
        <v>50</v>
      </c>
      <c r="L68" s="3" t="s">
        <v>51</v>
      </c>
      <c r="M68" s="7" t="s">
        <v>354</v>
      </c>
      <c r="N68" s="8" t="s">
        <v>26</v>
      </c>
      <c r="O68" s="14">
        <v>14227</v>
      </c>
      <c r="P68" s="14">
        <f t="shared" si="4"/>
        <v>427</v>
      </c>
      <c r="Q68" s="15">
        <f t="shared" si="5"/>
        <v>34117300</v>
      </c>
    </row>
    <row r="69" spans="1:17" ht="25.5" customHeight="1" x14ac:dyDescent="0.25">
      <c r="A69" s="9">
        <v>68</v>
      </c>
      <c r="B69" s="10" t="s">
        <v>355</v>
      </c>
      <c r="C69" s="10" t="s">
        <v>356</v>
      </c>
      <c r="D69" s="11">
        <v>69</v>
      </c>
      <c r="E69" s="9">
        <v>5</v>
      </c>
      <c r="F69" s="9">
        <v>162</v>
      </c>
      <c r="G69" s="5" t="s">
        <v>19</v>
      </c>
      <c r="H69" s="9" t="s">
        <v>144</v>
      </c>
      <c r="I69" s="9" t="s">
        <v>157</v>
      </c>
      <c r="J69" s="12" t="s">
        <v>357</v>
      </c>
      <c r="K69" s="12" t="s">
        <v>50</v>
      </c>
      <c r="L69" s="10" t="s">
        <v>51</v>
      </c>
      <c r="M69" s="7" t="s">
        <v>358</v>
      </c>
      <c r="N69" s="8" t="s">
        <v>26</v>
      </c>
      <c r="O69" s="14">
        <v>2441</v>
      </c>
      <c r="P69" s="14">
        <f t="shared" si="4"/>
        <v>73</v>
      </c>
      <c r="Q69" s="15">
        <f t="shared" si="5"/>
        <v>5037</v>
      </c>
    </row>
    <row r="70" spans="1:17" ht="25.5" customHeight="1" x14ac:dyDescent="0.25">
      <c r="A70" s="2">
        <v>69</v>
      </c>
      <c r="B70" s="3" t="s">
        <v>359</v>
      </c>
      <c r="C70" s="3" t="s">
        <v>360</v>
      </c>
      <c r="D70" s="4">
        <v>53</v>
      </c>
      <c r="E70" s="2">
        <v>10</v>
      </c>
      <c r="F70" s="2">
        <v>159</v>
      </c>
      <c r="G70" s="5" t="s">
        <v>19</v>
      </c>
      <c r="H70" s="2" t="s">
        <v>121</v>
      </c>
      <c r="I70" s="2" t="s">
        <v>128</v>
      </c>
      <c r="J70" s="6" t="s">
        <v>361</v>
      </c>
      <c r="K70" s="6" t="s">
        <v>50</v>
      </c>
      <c r="L70" s="3" t="s">
        <v>51</v>
      </c>
      <c r="M70" s="7" t="s">
        <v>362</v>
      </c>
      <c r="N70" s="8" t="s">
        <v>26</v>
      </c>
      <c r="O70" s="14">
        <v>18937</v>
      </c>
      <c r="P70" s="14">
        <f t="shared" si="4"/>
        <v>568</v>
      </c>
      <c r="Q70" s="15">
        <f t="shared" si="5"/>
        <v>30104</v>
      </c>
    </row>
    <row r="71" spans="1:17" ht="25.5" customHeight="1" x14ac:dyDescent="0.25">
      <c r="A71" s="9">
        <v>70</v>
      </c>
      <c r="B71" s="10" t="s">
        <v>363</v>
      </c>
      <c r="C71" s="10" t="s">
        <v>364</v>
      </c>
      <c r="D71" s="11">
        <v>55</v>
      </c>
      <c r="E71" s="9">
        <v>2</v>
      </c>
      <c r="F71" s="9">
        <v>144</v>
      </c>
      <c r="G71" s="5" t="s">
        <v>19</v>
      </c>
      <c r="H71" s="9" t="s">
        <v>365</v>
      </c>
      <c r="I71" s="9" t="s">
        <v>157</v>
      </c>
      <c r="J71" s="12" t="s">
        <v>134</v>
      </c>
      <c r="K71" s="12" t="s">
        <v>37</v>
      </c>
      <c r="L71" s="10" t="s">
        <v>38</v>
      </c>
      <c r="M71" s="7" t="s">
        <v>366</v>
      </c>
      <c r="N71" s="8" t="s">
        <v>26</v>
      </c>
      <c r="O71" s="14">
        <v>270</v>
      </c>
      <c r="P71" s="14">
        <f t="shared" si="4"/>
        <v>8</v>
      </c>
      <c r="Q71" s="15">
        <f t="shared" si="5"/>
        <v>440</v>
      </c>
    </row>
    <row r="72" spans="1:17" ht="38.25" customHeight="1" x14ac:dyDescent="0.25">
      <c r="A72" s="2">
        <v>71</v>
      </c>
      <c r="B72" s="3" t="s">
        <v>367</v>
      </c>
      <c r="C72" s="3" t="s">
        <v>368</v>
      </c>
      <c r="D72" s="4">
        <v>84900</v>
      </c>
      <c r="E72" s="2">
        <v>8</v>
      </c>
      <c r="F72" s="2">
        <v>138</v>
      </c>
      <c r="G72" s="5" t="s">
        <v>19</v>
      </c>
      <c r="H72" s="2" t="s">
        <v>369</v>
      </c>
      <c r="I72" s="2" t="s">
        <v>190</v>
      </c>
      <c r="J72" s="6" t="s">
        <v>353</v>
      </c>
      <c r="K72" s="6" t="s">
        <v>37</v>
      </c>
      <c r="L72" s="3" t="s">
        <v>38</v>
      </c>
      <c r="M72" s="7" t="s">
        <v>370</v>
      </c>
      <c r="N72" s="8" t="s">
        <v>26</v>
      </c>
      <c r="O72" s="14">
        <v>13515</v>
      </c>
      <c r="P72" s="14">
        <f t="shared" si="4"/>
        <v>405</v>
      </c>
      <c r="Q72" s="15">
        <f t="shared" si="5"/>
        <v>34384500</v>
      </c>
    </row>
    <row r="73" spans="1:17" x14ac:dyDescent="0.25">
      <c r="A73" s="9">
        <v>72</v>
      </c>
      <c r="B73" s="10" t="s">
        <v>371</v>
      </c>
      <c r="C73" s="10" t="s">
        <v>372</v>
      </c>
      <c r="D73" s="11">
        <v>33</v>
      </c>
      <c r="E73" s="9">
        <v>1</v>
      </c>
      <c r="F73" s="9">
        <v>138</v>
      </c>
      <c r="G73" s="5" t="s">
        <v>19</v>
      </c>
      <c r="H73" s="9" t="s">
        <v>373</v>
      </c>
      <c r="I73" s="9" t="s">
        <v>374</v>
      </c>
      <c r="J73" s="12" t="s">
        <v>375</v>
      </c>
      <c r="K73" s="12" t="s">
        <v>50</v>
      </c>
      <c r="L73" s="10" t="s">
        <v>51</v>
      </c>
      <c r="M73" s="7" t="s">
        <v>376</v>
      </c>
      <c r="N73" s="8" t="s">
        <v>26</v>
      </c>
      <c r="O73" s="14">
        <v>7638</v>
      </c>
      <c r="P73" s="14">
        <f t="shared" si="4"/>
        <v>229</v>
      </c>
      <c r="Q73" s="15">
        <f t="shared" si="5"/>
        <v>7557</v>
      </c>
    </row>
    <row r="74" spans="1:17" x14ac:dyDescent="0.25">
      <c r="A74" s="2">
        <v>73</v>
      </c>
      <c r="B74" s="3" t="s">
        <v>377</v>
      </c>
      <c r="C74" s="3" t="s">
        <v>378</v>
      </c>
      <c r="D74" s="4">
        <v>88</v>
      </c>
      <c r="E74" s="2">
        <v>12</v>
      </c>
      <c r="F74" s="2">
        <v>131</v>
      </c>
      <c r="G74" s="5" t="s">
        <v>19</v>
      </c>
      <c r="H74" s="2" t="s">
        <v>293</v>
      </c>
      <c r="I74" s="2" t="s">
        <v>157</v>
      </c>
      <c r="J74" s="6" t="s">
        <v>134</v>
      </c>
      <c r="K74" s="6" t="s">
        <v>37</v>
      </c>
      <c r="L74" s="3" t="s">
        <v>38</v>
      </c>
      <c r="M74" s="7" t="s">
        <v>379</v>
      </c>
      <c r="N74" s="8" t="s">
        <v>26</v>
      </c>
      <c r="O74" s="14">
        <v>1789</v>
      </c>
      <c r="P74" s="14">
        <f t="shared" si="4"/>
        <v>54</v>
      </c>
      <c r="Q74" s="15">
        <f t="shared" si="5"/>
        <v>4752</v>
      </c>
    </row>
    <row r="75" spans="1:17" x14ac:dyDescent="0.25">
      <c r="A75" s="9">
        <v>74</v>
      </c>
      <c r="B75" s="10" t="s">
        <v>380</v>
      </c>
      <c r="C75" s="10" t="s">
        <v>381</v>
      </c>
      <c r="D75" s="11">
        <v>32</v>
      </c>
      <c r="E75" s="9">
        <v>3</v>
      </c>
      <c r="F75" s="9">
        <v>130</v>
      </c>
      <c r="G75" s="5" t="s">
        <v>19</v>
      </c>
      <c r="H75" s="9" t="s">
        <v>382</v>
      </c>
      <c r="I75" s="9" t="s">
        <v>157</v>
      </c>
      <c r="J75" s="12" t="s">
        <v>36</v>
      </c>
      <c r="K75" s="12" t="s">
        <v>50</v>
      </c>
      <c r="L75" s="10" t="s">
        <v>51</v>
      </c>
      <c r="M75" s="7" t="s">
        <v>383</v>
      </c>
      <c r="N75" s="8" t="s">
        <v>26</v>
      </c>
      <c r="O75" s="14">
        <v>1086</v>
      </c>
      <c r="P75" s="14">
        <f t="shared" si="4"/>
        <v>33</v>
      </c>
      <c r="Q75" s="15">
        <f t="shared" si="5"/>
        <v>1056</v>
      </c>
    </row>
    <row r="76" spans="1:17" x14ac:dyDescent="0.25">
      <c r="A76" s="2">
        <v>75</v>
      </c>
      <c r="B76" s="3" t="s">
        <v>384</v>
      </c>
      <c r="C76" s="3" t="s">
        <v>385</v>
      </c>
      <c r="D76" s="4">
        <v>995</v>
      </c>
      <c r="E76" s="2">
        <v>11</v>
      </c>
      <c r="F76" s="2">
        <v>125</v>
      </c>
      <c r="G76" s="5" t="s">
        <v>19</v>
      </c>
      <c r="H76" s="2" t="s">
        <v>34</v>
      </c>
      <c r="I76" s="2" t="s">
        <v>100</v>
      </c>
      <c r="J76" s="6" t="s">
        <v>386</v>
      </c>
      <c r="K76" s="6" t="s">
        <v>50</v>
      </c>
      <c r="L76" s="3" t="s">
        <v>51</v>
      </c>
      <c r="M76" s="7" t="s">
        <v>387</v>
      </c>
      <c r="N76" s="8" t="s">
        <v>26</v>
      </c>
      <c r="O76" s="14">
        <v>2741</v>
      </c>
      <c r="P76" s="14">
        <f t="shared" si="4"/>
        <v>82</v>
      </c>
      <c r="Q76" s="15">
        <f t="shared" si="5"/>
        <v>81590</v>
      </c>
    </row>
    <row r="77" spans="1:17" x14ac:dyDescent="0.25">
      <c r="A77" s="9">
        <v>76</v>
      </c>
      <c r="B77" s="10" t="s">
        <v>388</v>
      </c>
      <c r="C77" s="10" t="s">
        <v>389</v>
      </c>
      <c r="D77" s="11">
        <v>420</v>
      </c>
      <c r="E77" s="9">
        <v>1</v>
      </c>
      <c r="F77" s="9">
        <v>105</v>
      </c>
      <c r="G77" s="5" t="s">
        <v>19</v>
      </c>
      <c r="H77" s="9" t="s">
        <v>206</v>
      </c>
      <c r="I77" s="9" t="s">
        <v>329</v>
      </c>
      <c r="J77" s="12" t="s">
        <v>390</v>
      </c>
      <c r="K77" s="12" t="s">
        <v>50</v>
      </c>
      <c r="L77" s="10" t="s">
        <v>51</v>
      </c>
      <c r="M77" s="7" t="s">
        <v>391</v>
      </c>
      <c r="N77" s="8" t="s">
        <v>26</v>
      </c>
      <c r="O77" s="14">
        <v>35153</v>
      </c>
      <c r="P77" s="14">
        <f t="shared" si="4"/>
        <v>1055</v>
      </c>
      <c r="Q77" s="15">
        <f t="shared" si="5"/>
        <v>443100</v>
      </c>
    </row>
    <row r="78" spans="1:17" x14ac:dyDescent="0.25">
      <c r="A78" s="2">
        <v>77</v>
      </c>
      <c r="B78" s="3" t="s">
        <v>392</v>
      </c>
      <c r="C78" s="3" t="s">
        <v>393</v>
      </c>
      <c r="D78" s="4">
        <v>50</v>
      </c>
      <c r="E78" s="2">
        <v>7</v>
      </c>
      <c r="F78" s="2">
        <v>99</v>
      </c>
      <c r="G78" s="5" t="s">
        <v>19</v>
      </c>
      <c r="H78" s="2" t="s">
        <v>394</v>
      </c>
      <c r="I78" s="2" t="s">
        <v>35</v>
      </c>
      <c r="J78" s="6" t="s">
        <v>211</v>
      </c>
      <c r="K78" s="6" t="s">
        <v>50</v>
      </c>
      <c r="L78" s="3" t="s">
        <v>51</v>
      </c>
      <c r="M78" s="7" t="s">
        <v>395</v>
      </c>
      <c r="N78" s="8" t="s">
        <v>26</v>
      </c>
      <c r="O78" s="14">
        <v>688</v>
      </c>
      <c r="P78" s="14">
        <f t="shared" si="4"/>
        <v>21</v>
      </c>
      <c r="Q78" s="15">
        <f t="shared" si="5"/>
        <v>1050</v>
      </c>
    </row>
    <row r="79" spans="1:17" x14ac:dyDescent="0.25">
      <c r="A79" s="9">
        <v>78</v>
      </c>
      <c r="B79" s="10" t="s">
        <v>396</v>
      </c>
      <c r="C79" s="10" t="s">
        <v>397</v>
      </c>
      <c r="D79" s="11">
        <v>21</v>
      </c>
      <c r="E79" s="9">
        <v>7</v>
      </c>
      <c r="F79" s="9">
        <v>98</v>
      </c>
      <c r="G79" s="5" t="s">
        <v>19</v>
      </c>
      <c r="H79" s="9" t="s">
        <v>76</v>
      </c>
      <c r="I79" s="9" t="s">
        <v>329</v>
      </c>
      <c r="J79" s="12" t="s">
        <v>398</v>
      </c>
      <c r="K79" s="12" t="s">
        <v>50</v>
      </c>
      <c r="L79" s="10" t="s">
        <v>51</v>
      </c>
      <c r="M79" s="7" t="s">
        <v>399</v>
      </c>
      <c r="N79" s="8" t="s">
        <v>19</v>
      </c>
      <c r="O79" s="14">
        <v>1125</v>
      </c>
      <c r="P79" s="14">
        <f t="shared" si="4"/>
        <v>34</v>
      </c>
      <c r="Q79" s="15">
        <f t="shared" si="5"/>
        <v>714</v>
      </c>
    </row>
    <row r="80" spans="1:17" ht="25.5" customHeight="1" x14ac:dyDescent="0.25">
      <c r="A80" s="2">
        <v>79</v>
      </c>
      <c r="B80" s="3" t="s">
        <v>400</v>
      </c>
      <c r="C80" s="3" t="s">
        <v>401</v>
      </c>
      <c r="D80" s="4">
        <v>39</v>
      </c>
      <c r="E80" s="2">
        <v>19</v>
      </c>
      <c r="F80" s="2">
        <v>98</v>
      </c>
      <c r="G80" s="5" t="s">
        <v>19</v>
      </c>
      <c r="H80" s="2" t="s">
        <v>402</v>
      </c>
      <c r="I80" s="2" t="s">
        <v>157</v>
      </c>
      <c r="J80" s="6" t="s">
        <v>403</v>
      </c>
      <c r="K80" s="6" t="s">
        <v>50</v>
      </c>
      <c r="L80" s="3" t="s">
        <v>51</v>
      </c>
      <c r="M80" s="7" t="s">
        <v>404</v>
      </c>
      <c r="N80" s="8" t="s">
        <v>26</v>
      </c>
      <c r="O80" s="14">
        <v>418</v>
      </c>
      <c r="P80" s="14">
        <f t="shared" si="4"/>
        <v>13</v>
      </c>
      <c r="Q80" s="15">
        <f t="shared" si="5"/>
        <v>507</v>
      </c>
    </row>
    <row r="81" spans="1:17" ht="25.5" customHeight="1" x14ac:dyDescent="0.25">
      <c r="A81" s="9">
        <v>80</v>
      </c>
      <c r="B81" s="10" t="s">
        <v>405</v>
      </c>
      <c r="C81" s="10" t="s">
        <v>406</v>
      </c>
      <c r="D81" s="11">
        <v>55</v>
      </c>
      <c r="E81" s="9">
        <v>1</v>
      </c>
      <c r="F81" s="9">
        <v>97</v>
      </c>
      <c r="G81" s="5" t="s">
        <v>19</v>
      </c>
      <c r="H81" s="9" t="s">
        <v>407</v>
      </c>
      <c r="I81" s="9" t="s">
        <v>157</v>
      </c>
      <c r="J81" s="12" t="s">
        <v>134</v>
      </c>
      <c r="K81" s="12" t="s">
        <v>50</v>
      </c>
      <c r="L81" s="10" t="s">
        <v>51</v>
      </c>
      <c r="M81" s="7" t="s">
        <v>408</v>
      </c>
      <c r="N81" s="8" t="s">
        <v>26</v>
      </c>
      <c r="O81" s="14">
        <v>337</v>
      </c>
      <c r="P81" s="14">
        <f t="shared" si="4"/>
        <v>10</v>
      </c>
      <c r="Q81" s="15">
        <f t="shared" si="5"/>
        <v>550</v>
      </c>
    </row>
    <row r="82" spans="1:17" x14ac:dyDescent="0.25">
      <c r="A82" s="2">
        <v>81</v>
      </c>
      <c r="B82" s="3" t="s">
        <v>409</v>
      </c>
      <c r="C82" s="3" t="s">
        <v>410</v>
      </c>
      <c r="D82" s="4">
        <v>21</v>
      </c>
      <c r="E82" s="2">
        <v>24</v>
      </c>
      <c r="F82" s="2">
        <v>85</v>
      </c>
      <c r="G82" s="5" t="s">
        <v>19</v>
      </c>
      <c r="H82" s="2" t="s">
        <v>47</v>
      </c>
      <c r="I82" s="2" t="s">
        <v>325</v>
      </c>
      <c r="J82" s="6" t="s">
        <v>411</v>
      </c>
      <c r="K82" s="6" t="s">
        <v>50</v>
      </c>
      <c r="L82" s="3" t="s">
        <v>51</v>
      </c>
      <c r="M82" s="7" t="s">
        <v>412</v>
      </c>
      <c r="N82" s="8" t="s">
        <v>26</v>
      </c>
      <c r="O82" s="14">
        <v>5665</v>
      </c>
      <c r="P82" s="14">
        <f t="shared" si="4"/>
        <v>170</v>
      </c>
      <c r="Q82" s="15">
        <f t="shared" si="5"/>
        <v>3570</v>
      </c>
    </row>
    <row r="83" spans="1:17" x14ac:dyDescent="0.25">
      <c r="A83" s="9">
        <v>82</v>
      </c>
      <c r="B83" s="10" t="s">
        <v>413</v>
      </c>
      <c r="C83" s="10" t="s">
        <v>414</v>
      </c>
      <c r="D83" s="11">
        <v>46</v>
      </c>
      <c r="E83" s="9">
        <v>1</v>
      </c>
      <c r="F83" s="9">
        <v>81</v>
      </c>
      <c r="G83" s="5" t="s">
        <v>19</v>
      </c>
      <c r="H83" s="9" t="s">
        <v>189</v>
      </c>
      <c r="I83" s="9" t="s">
        <v>329</v>
      </c>
      <c r="J83" s="12" t="s">
        <v>134</v>
      </c>
      <c r="K83" s="12" t="s">
        <v>50</v>
      </c>
      <c r="L83" s="10" t="s">
        <v>51</v>
      </c>
      <c r="M83" s="7" t="s">
        <v>415</v>
      </c>
      <c r="N83" s="8" t="s">
        <v>26</v>
      </c>
      <c r="O83" s="14">
        <v>22</v>
      </c>
      <c r="P83" s="14">
        <f t="shared" si="4"/>
        <v>1</v>
      </c>
      <c r="Q83" s="15">
        <f t="shared" si="5"/>
        <v>46</v>
      </c>
    </row>
    <row r="84" spans="1:17" x14ac:dyDescent="0.25">
      <c r="A84" s="2">
        <v>83</v>
      </c>
      <c r="B84" s="3" t="s">
        <v>416</v>
      </c>
      <c r="C84" s="3" t="s">
        <v>417</v>
      </c>
      <c r="D84" s="4">
        <v>45000</v>
      </c>
      <c r="E84" s="2">
        <v>13</v>
      </c>
      <c r="F84" s="2">
        <v>80</v>
      </c>
      <c r="G84" s="5" t="s">
        <v>19</v>
      </c>
      <c r="H84" s="2" t="s">
        <v>418</v>
      </c>
      <c r="I84" s="2" t="s">
        <v>303</v>
      </c>
      <c r="J84" s="6" t="s">
        <v>353</v>
      </c>
      <c r="K84" s="6" t="s">
        <v>50</v>
      </c>
      <c r="L84" s="3" t="s">
        <v>51</v>
      </c>
      <c r="M84" s="7" t="s">
        <v>419</v>
      </c>
      <c r="N84" s="8" t="s">
        <v>26</v>
      </c>
      <c r="O84" s="14">
        <v>15574</v>
      </c>
      <c r="P84" s="14">
        <f t="shared" si="4"/>
        <v>467</v>
      </c>
      <c r="Q84" s="15">
        <f t="shared" si="5"/>
        <v>21015000</v>
      </c>
    </row>
    <row r="85" spans="1:17" ht="25.5" customHeight="1" x14ac:dyDescent="0.25">
      <c r="A85" s="9">
        <v>84</v>
      </c>
      <c r="B85" s="10" t="s">
        <v>420</v>
      </c>
      <c r="C85" s="10" t="s">
        <v>421</v>
      </c>
      <c r="D85" s="11">
        <v>68</v>
      </c>
      <c r="E85" s="9">
        <v>1</v>
      </c>
      <c r="F85" s="9">
        <v>71</v>
      </c>
      <c r="G85" s="5" t="s">
        <v>19</v>
      </c>
      <c r="H85" s="9" t="s">
        <v>422</v>
      </c>
      <c r="I85" s="9" t="s">
        <v>329</v>
      </c>
      <c r="J85" s="12" t="s">
        <v>134</v>
      </c>
      <c r="K85" s="12" t="s">
        <v>50</v>
      </c>
      <c r="L85" s="10" t="s">
        <v>51</v>
      </c>
      <c r="M85" s="7" t="s">
        <v>423</v>
      </c>
      <c r="N85" s="8" t="s">
        <v>26</v>
      </c>
      <c r="O85" s="14">
        <v>62</v>
      </c>
      <c r="P85" s="14">
        <f t="shared" si="4"/>
        <v>2</v>
      </c>
      <c r="Q85" s="15">
        <f t="shared" si="5"/>
        <v>136</v>
      </c>
    </row>
    <row r="86" spans="1:17" x14ac:dyDescent="0.25">
      <c r="A86" s="2">
        <v>85</v>
      </c>
      <c r="B86" s="3" t="s">
        <v>424</v>
      </c>
      <c r="C86" s="3" t="s">
        <v>425</v>
      </c>
      <c r="D86" s="4">
        <v>43</v>
      </c>
      <c r="E86" s="2">
        <v>2</v>
      </c>
      <c r="F86" s="2">
        <v>66</v>
      </c>
      <c r="G86" s="5" t="s">
        <v>19</v>
      </c>
      <c r="H86" s="2" t="s">
        <v>81</v>
      </c>
      <c r="I86" s="2" t="s">
        <v>426</v>
      </c>
      <c r="J86" s="6" t="s">
        <v>227</v>
      </c>
      <c r="K86" s="6" t="s">
        <v>237</v>
      </c>
      <c r="L86" s="3" t="s">
        <v>238</v>
      </c>
      <c r="M86" s="7" t="s">
        <v>427</v>
      </c>
      <c r="N86" s="8" t="s">
        <v>26</v>
      </c>
      <c r="O86" s="14">
        <v>2481</v>
      </c>
      <c r="P86" s="14">
        <f t="shared" si="4"/>
        <v>74</v>
      </c>
      <c r="Q86" s="15">
        <f t="shared" si="5"/>
        <v>3182</v>
      </c>
    </row>
    <row r="87" spans="1:17" x14ac:dyDescent="0.25">
      <c r="A87" s="9">
        <v>86</v>
      </c>
      <c r="B87" s="10" t="s">
        <v>428</v>
      </c>
      <c r="C87" s="10" t="s">
        <v>429</v>
      </c>
      <c r="D87" s="11">
        <v>129900</v>
      </c>
      <c r="E87" s="9">
        <v>3</v>
      </c>
      <c r="F87" s="9">
        <v>61</v>
      </c>
      <c r="G87" s="5" t="s">
        <v>19</v>
      </c>
      <c r="H87" s="9" t="s">
        <v>369</v>
      </c>
      <c r="I87" s="9" t="s">
        <v>329</v>
      </c>
      <c r="J87" s="12" t="s">
        <v>353</v>
      </c>
      <c r="K87" s="12" t="s">
        <v>50</v>
      </c>
      <c r="L87" s="10" t="s">
        <v>51</v>
      </c>
      <c r="M87" s="7" t="s">
        <v>430</v>
      </c>
      <c r="N87" s="8" t="s">
        <v>26</v>
      </c>
      <c r="O87" s="14">
        <v>221</v>
      </c>
      <c r="P87" s="14">
        <f t="shared" si="4"/>
        <v>7</v>
      </c>
      <c r="Q87" s="15">
        <f t="shared" si="5"/>
        <v>909300</v>
      </c>
    </row>
    <row r="88" spans="1:17" ht="25.5" customHeight="1" x14ac:dyDescent="0.25">
      <c r="A88" s="2">
        <v>87</v>
      </c>
      <c r="B88" s="3" t="s">
        <v>431</v>
      </c>
      <c r="C88" s="3" t="s">
        <v>432</v>
      </c>
      <c r="D88" s="4">
        <v>16</v>
      </c>
      <c r="E88" s="2">
        <v>18</v>
      </c>
      <c r="F88" s="2">
        <v>58</v>
      </c>
      <c r="G88" s="5" t="s">
        <v>19</v>
      </c>
      <c r="H88" s="2" t="s">
        <v>178</v>
      </c>
      <c r="I88" s="2" t="s">
        <v>433</v>
      </c>
      <c r="J88" s="6" t="s">
        <v>403</v>
      </c>
      <c r="K88" s="6" t="s">
        <v>37</v>
      </c>
      <c r="L88" s="3" t="s">
        <v>38</v>
      </c>
      <c r="M88" s="7" t="s">
        <v>434</v>
      </c>
      <c r="N88" s="8" t="s">
        <v>26</v>
      </c>
      <c r="O88" s="14">
        <v>14976</v>
      </c>
      <c r="P88" s="14">
        <f t="shared" si="4"/>
        <v>449</v>
      </c>
      <c r="Q88" s="15">
        <f t="shared" si="5"/>
        <v>7184</v>
      </c>
    </row>
    <row r="89" spans="1:17" x14ac:dyDescent="0.25">
      <c r="A89" s="9">
        <v>88</v>
      </c>
      <c r="B89" s="10" t="s">
        <v>435</v>
      </c>
      <c r="C89" s="10" t="s">
        <v>436</v>
      </c>
      <c r="D89" s="11">
        <v>31</v>
      </c>
      <c r="E89" s="9">
        <v>13</v>
      </c>
      <c r="F89" s="9">
        <v>55</v>
      </c>
      <c r="G89" s="5" t="s">
        <v>19</v>
      </c>
      <c r="H89" s="9" t="s">
        <v>253</v>
      </c>
      <c r="I89" s="9" t="s">
        <v>128</v>
      </c>
      <c r="J89" s="12" t="s">
        <v>403</v>
      </c>
      <c r="K89" s="12" t="s">
        <v>50</v>
      </c>
      <c r="L89" s="10" t="s">
        <v>51</v>
      </c>
      <c r="M89" s="7" t="s">
        <v>437</v>
      </c>
      <c r="N89" s="8" t="s">
        <v>26</v>
      </c>
      <c r="O89" s="14">
        <v>5640</v>
      </c>
      <c r="P89" s="14">
        <f t="shared" si="4"/>
        <v>169</v>
      </c>
      <c r="Q89" s="15">
        <f t="shared" si="5"/>
        <v>5239</v>
      </c>
    </row>
    <row r="90" spans="1:17" ht="25.5" customHeight="1" x14ac:dyDescent="0.25">
      <c r="A90" s="2">
        <v>89</v>
      </c>
      <c r="B90" s="3" t="s">
        <v>438</v>
      </c>
      <c r="C90" s="3" t="s">
        <v>439</v>
      </c>
      <c r="D90" s="4">
        <v>65</v>
      </c>
      <c r="E90" s="2">
        <v>8</v>
      </c>
      <c r="F90" s="2">
        <v>50</v>
      </c>
      <c r="G90" s="5" t="s">
        <v>19</v>
      </c>
      <c r="H90" s="2" t="s">
        <v>440</v>
      </c>
      <c r="I90" s="2" t="s">
        <v>329</v>
      </c>
      <c r="J90" s="6" t="s">
        <v>333</v>
      </c>
      <c r="K90" s="6" t="s">
        <v>50</v>
      </c>
      <c r="L90" s="3" t="s">
        <v>51</v>
      </c>
      <c r="M90" s="7" t="s">
        <v>441</v>
      </c>
      <c r="N90" s="8" t="s">
        <v>26</v>
      </c>
      <c r="O90" s="14">
        <v>7679</v>
      </c>
      <c r="P90" s="14">
        <f t="shared" si="4"/>
        <v>230</v>
      </c>
      <c r="Q90" s="15">
        <f t="shared" si="5"/>
        <v>14950</v>
      </c>
    </row>
    <row r="91" spans="1:17" x14ac:dyDescent="0.25">
      <c r="A91" s="9">
        <v>90</v>
      </c>
      <c r="B91" s="10" t="s">
        <v>442</v>
      </c>
      <c r="C91" s="10" t="s">
        <v>443</v>
      </c>
      <c r="D91" s="11">
        <v>38</v>
      </c>
      <c r="E91" s="9">
        <v>13</v>
      </c>
      <c r="F91" s="9">
        <v>47</v>
      </c>
      <c r="G91" s="5" t="s">
        <v>19</v>
      </c>
      <c r="H91" s="9" t="s">
        <v>444</v>
      </c>
      <c r="I91" s="9" t="s">
        <v>151</v>
      </c>
      <c r="J91" s="12" t="s">
        <v>445</v>
      </c>
      <c r="K91" s="12" t="s">
        <v>50</v>
      </c>
      <c r="L91" s="10" t="s">
        <v>51</v>
      </c>
      <c r="M91" s="7" t="s">
        <v>446</v>
      </c>
      <c r="N91" s="8" t="s">
        <v>26</v>
      </c>
      <c r="O91" s="14">
        <v>43465</v>
      </c>
      <c r="P91" s="14">
        <f t="shared" si="4"/>
        <v>1304</v>
      </c>
      <c r="Q91" s="15">
        <f t="shared" si="5"/>
        <v>49552</v>
      </c>
    </row>
    <row r="92" spans="1:17" x14ac:dyDescent="0.25">
      <c r="A92" s="2">
        <v>91</v>
      </c>
      <c r="B92" s="3" t="s">
        <v>447</v>
      </c>
      <c r="C92" s="3" t="s">
        <v>448</v>
      </c>
      <c r="D92" s="4">
        <v>27</v>
      </c>
      <c r="E92" s="2">
        <v>17</v>
      </c>
      <c r="F92" s="2">
        <v>45</v>
      </c>
      <c r="G92" s="5" t="s">
        <v>19</v>
      </c>
      <c r="H92" s="2" t="s">
        <v>449</v>
      </c>
      <c r="I92" s="2" t="s">
        <v>48</v>
      </c>
      <c r="J92" s="6" t="s">
        <v>36</v>
      </c>
      <c r="K92" s="6" t="s">
        <v>50</v>
      </c>
      <c r="L92" s="3" t="s">
        <v>51</v>
      </c>
      <c r="M92" s="7" t="s">
        <v>450</v>
      </c>
      <c r="N92" s="8" t="s">
        <v>26</v>
      </c>
      <c r="O92" s="14">
        <v>5157</v>
      </c>
      <c r="P92" s="14">
        <f t="shared" si="4"/>
        <v>155</v>
      </c>
      <c r="Q92" s="15">
        <f t="shared" si="5"/>
        <v>4185</v>
      </c>
    </row>
    <row r="93" spans="1:17" ht="25.5" customHeight="1" x14ac:dyDescent="0.25">
      <c r="A93" s="9">
        <v>92</v>
      </c>
      <c r="B93" s="10" t="s">
        <v>451</v>
      </c>
      <c r="C93" s="10" t="s">
        <v>452</v>
      </c>
      <c r="D93" s="11">
        <v>211</v>
      </c>
      <c r="E93" s="9">
        <v>14</v>
      </c>
      <c r="F93" s="9">
        <v>45</v>
      </c>
      <c r="G93" s="5" t="s">
        <v>19</v>
      </c>
      <c r="H93" s="9" t="s">
        <v>178</v>
      </c>
      <c r="I93" s="9" t="s">
        <v>35</v>
      </c>
      <c r="J93" s="12" t="s">
        <v>36</v>
      </c>
      <c r="K93" s="12" t="s">
        <v>50</v>
      </c>
      <c r="L93" s="10" t="s">
        <v>51</v>
      </c>
      <c r="M93" s="7" t="s">
        <v>453</v>
      </c>
      <c r="N93" s="8" t="s">
        <v>26</v>
      </c>
      <c r="O93" s="14">
        <v>3000</v>
      </c>
      <c r="P93" s="14">
        <f t="shared" si="4"/>
        <v>90</v>
      </c>
      <c r="Q93" s="15">
        <f t="shared" si="5"/>
        <v>18990</v>
      </c>
    </row>
    <row r="94" spans="1:17" ht="25.5" customHeight="1" x14ac:dyDescent="0.25">
      <c r="A94" s="2">
        <v>93</v>
      </c>
      <c r="B94" s="3" t="s">
        <v>454</v>
      </c>
      <c r="C94" s="3" t="s">
        <v>455</v>
      </c>
      <c r="D94" s="4">
        <v>90</v>
      </c>
      <c r="E94" s="2">
        <v>3</v>
      </c>
      <c r="F94" s="2">
        <v>44</v>
      </c>
      <c r="G94" s="5" t="s">
        <v>19</v>
      </c>
      <c r="H94" s="2" t="s">
        <v>456</v>
      </c>
      <c r="I94" s="2" t="s">
        <v>133</v>
      </c>
      <c r="J94" s="6" t="s">
        <v>457</v>
      </c>
      <c r="K94" s="6" t="s">
        <v>37</v>
      </c>
      <c r="L94" s="3" t="s">
        <v>38</v>
      </c>
      <c r="M94" s="7" t="s">
        <v>458</v>
      </c>
      <c r="N94" s="8" t="s">
        <v>26</v>
      </c>
      <c r="O94" s="14">
        <v>8716</v>
      </c>
      <c r="P94" s="14">
        <f t="shared" si="4"/>
        <v>261</v>
      </c>
      <c r="Q94" s="15">
        <f t="shared" si="5"/>
        <v>23490</v>
      </c>
    </row>
    <row r="95" spans="1:17" ht="38.25" customHeight="1" x14ac:dyDescent="0.25">
      <c r="A95" s="9">
        <v>94</v>
      </c>
      <c r="B95" s="10" t="s">
        <v>459</v>
      </c>
      <c r="C95" s="10" t="s">
        <v>460</v>
      </c>
      <c r="D95" s="11">
        <v>70000</v>
      </c>
      <c r="E95" s="9">
        <v>2</v>
      </c>
      <c r="F95" s="9">
        <v>41</v>
      </c>
      <c r="G95" s="5" t="s">
        <v>19</v>
      </c>
      <c r="H95" s="9" t="s">
        <v>461</v>
      </c>
      <c r="I95" s="9" t="s">
        <v>462</v>
      </c>
      <c r="J95" s="12" t="s">
        <v>353</v>
      </c>
      <c r="K95" s="12" t="s">
        <v>50</v>
      </c>
      <c r="L95" s="10" t="s">
        <v>51</v>
      </c>
      <c r="M95" s="7" t="s">
        <v>463</v>
      </c>
      <c r="N95" s="8" t="s">
        <v>26</v>
      </c>
      <c r="O95" s="14">
        <v>1344</v>
      </c>
      <c r="P95" s="14">
        <f t="shared" si="4"/>
        <v>40</v>
      </c>
      <c r="Q95" s="15">
        <f t="shared" si="5"/>
        <v>2800000</v>
      </c>
    </row>
    <row r="96" spans="1:17" x14ac:dyDescent="0.25">
      <c r="A96" s="2">
        <v>95</v>
      </c>
      <c r="B96" s="3" t="s">
        <v>464</v>
      </c>
      <c r="C96" s="3" t="s">
        <v>465</v>
      </c>
      <c r="D96" s="4">
        <v>11</v>
      </c>
      <c r="E96" s="2">
        <v>15</v>
      </c>
      <c r="F96" s="2">
        <v>38</v>
      </c>
      <c r="G96" s="5" t="s">
        <v>19</v>
      </c>
      <c r="H96" s="2" t="s">
        <v>173</v>
      </c>
      <c r="I96" s="2" t="s">
        <v>128</v>
      </c>
      <c r="J96" s="6" t="s">
        <v>466</v>
      </c>
      <c r="K96" s="6" t="s">
        <v>50</v>
      </c>
      <c r="L96" s="3" t="s">
        <v>51</v>
      </c>
      <c r="M96" s="7" t="s">
        <v>467</v>
      </c>
      <c r="N96" s="8" t="s">
        <v>124</v>
      </c>
      <c r="O96" s="14">
        <v>8674</v>
      </c>
      <c r="P96" s="14">
        <f t="shared" si="4"/>
        <v>260</v>
      </c>
      <c r="Q96" s="15">
        <f t="shared" si="5"/>
        <v>2860</v>
      </c>
    </row>
    <row r="97" spans="1:17" x14ac:dyDescent="0.25">
      <c r="A97" s="9">
        <v>96</v>
      </c>
      <c r="B97" s="10" t="s">
        <v>468</v>
      </c>
      <c r="C97" s="10" t="s">
        <v>469</v>
      </c>
      <c r="D97" s="11">
        <v>89</v>
      </c>
      <c r="E97" s="9">
        <v>9</v>
      </c>
      <c r="F97" s="9">
        <v>37</v>
      </c>
      <c r="G97" s="5" t="s">
        <v>19</v>
      </c>
      <c r="H97" s="9" t="s">
        <v>470</v>
      </c>
      <c r="I97" s="9" t="s">
        <v>190</v>
      </c>
      <c r="J97" s="12" t="s">
        <v>471</v>
      </c>
      <c r="K97" s="12" t="s">
        <v>37</v>
      </c>
      <c r="L97" s="10" t="s">
        <v>38</v>
      </c>
      <c r="M97" s="7" t="s">
        <v>472</v>
      </c>
      <c r="N97" s="8" t="s">
        <v>124</v>
      </c>
      <c r="O97" s="14">
        <v>1141</v>
      </c>
      <c r="P97" s="14">
        <f t="shared" si="4"/>
        <v>34</v>
      </c>
      <c r="Q97" s="15">
        <f t="shared" si="5"/>
        <v>3026</v>
      </c>
    </row>
    <row r="98" spans="1:17" x14ac:dyDescent="0.25">
      <c r="A98" s="2">
        <v>97</v>
      </c>
      <c r="B98" s="3" t="s">
        <v>473</v>
      </c>
      <c r="C98" s="3" t="s">
        <v>474</v>
      </c>
      <c r="D98" s="4">
        <v>49</v>
      </c>
      <c r="E98" s="2">
        <v>11</v>
      </c>
      <c r="F98" s="2">
        <v>36</v>
      </c>
      <c r="G98" s="5" t="s">
        <v>19</v>
      </c>
      <c r="H98" s="2" t="s">
        <v>475</v>
      </c>
      <c r="I98" s="2" t="s">
        <v>133</v>
      </c>
      <c r="J98" s="6" t="s">
        <v>476</v>
      </c>
      <c r="K98" s="6" t="s">
        <v>50</v>
      </c>
      <c r="L98" s="3" t="s">
        <v>51</v>
      </c>
      <c r="M98" s="7" t="s">
        <v>477</v>
      </c>
      <c r="N98" s="8" t="s">
        <v>124</v>
      </c>
      <c r="O98" s="14">
        <v>2699</v>
      </c>
      <c r="P98" s="14">
        <f t="shared" ref="P98:P129" si="6">ROUND(O98*0.03,0)</f>
        <v>81</v>
      </c>
      <c r="Q98" s="15">
        <f t="shared" ref="Q98:Q129" si="7">P98*D98</f>
        <v>3969</v>
      </c>
    </row>
    <row r="99" spans="1:17" x14ac:dyDescent="0.25">
      <c r="A99" s="9">
        <v>98</v>
      </c>
      <c r="B99" s="10" t="s">
        <v>478</v>
      </c>
      <c r="C99" s="10" t="s">
        <v>479</v>
      </c>
      <c r="D99" s="11">
        <v>40</v>
      </c>
      <c r="E99" s="9">
        <v>9</v>
      </c>
      <c r="F99" s="9">
        <v>32</v>
      </c>
      <c r="G99" s="5" t="s">
        <v>19</v>
      </c>
      <c r="H99" s="9" t="s">
        <v>480</v>
      </c>
      <c r="I99" s="9" t="s">
        <v>29</v>
      </c>
      <c r="J99" s="12" t="s">
        <v>481</v>
      </c>
      <c r="K99" s="12" t="s">
        <v>50</v>
      </c>
      <c r="L99" s="10" t="s">
        <v>51</v>
      </c>
      <c r="M99" s="7" t="s">
        <v>482</v>
      </c>
      <c r="N99" s="8" t="s">
        <v>124</v>
      </c>
      <c r="O99" s="14">
        <v>210847</v>
      </c>
      <c r="P99" s="14">
        <f t="shared" si="6"/>
        <v>6325</v>
      </c>
      <c r="Q99" s="15">
        <f t="shared" si="7"/>
        <v>253000</v>
      </c>
    </row>
    <row r="100" spans="1:17" x14ac:dyDescent="0.25">
      <c r="A100" s="2">
        <v>99</v>
      </c>
      <c r="B100" s="3" t="s">
        <v>483</v>
      </c>
      <c r="C100" s="3" t="s">
        <v>483</v>
      </c>
      <c r="D100" s="4">
        <v>193</v>
      </c>
      <c r="E100" s="2">
        <v>16</v>
      </c>
      <c r="F100" s="2">
        <v>1195</v>
      </c>
      <c r="G100" s="2" t="s">
        <v>26</v>
      </c>
      <c r="H100" s="2" t="s">
        <v>461</v>
      </c>
      <c r="I100" s="2" t="s">
        <v>35</v>
      </c>
      <c r="J100" s="6" t="s">
        <v>484</v>
      </c>
      <c r="K100" s="6" t="s">
        <v>50</v>
      </c>
      <c r="L100" s="3" t="s">
        <v>51</v>
      </c>
      <c r="M100" s="7" t="s">
        <v>485</v>
      </c>
      <c r="N100" s="8" t="s">
        <v>26</v>
      </c>
      <c r="O100" s="14">
        <v>41185</v>
      </c>
      <c r="P100" s="14">
        <f t="shared" si="6"/>
        <v>1236</v>
      </c>
      <c r="Q100" s="15">
        <f t="shared" si="7"/>
        <v>238548</v>
      </c>
    </row>
    <row r="101" spans="1:17" x14ac:dyDescent="0.25">
      <c r="A101" s="9">
        <v>100</v>
      </c>
      <c r="B101" s="10" t="s">
        <v>486</v>
      </c>
      <c r="C101" s="10" t="s">
        <v>487</v>
      </c>
      <c r="D101" s="11">
        <v>35</v>
      </c>
      <c r="E101" s="9">
        <v>15</v>
      </c>
      <c r="F101" s="9">
        <v>1122</v>
      </c>
      <c r="G101" s="2" t="s">
        <v>26</v>
      </c>
      <c r="H101" s="9" t="s">
        <v>488</v>
      </c>
      <c r="I101" s="9" t="s">
        <v>201</v>
      </c>
      <c r="J101" s="12" t="s">
        <v>489</v>
      </c>
      <c r="K101" s="12" t="s">
        <v>23</v>
      </c>
      <c r="L101" s="10" t="s">
        <v>24</v>
      </c>
      <c r="M101" s="7" t="s">
        <v>490</v>
      </c>
      <c r="N101" s="8" t="s">
        <v>124</v>
      </c>
      <c r="O101" s="14">
        <v>135983</v>
      </c>
      <c r="P101" s="14">
        <f t="shared" si="6"/>
        <v>4079</v>
      </c>
      <c r="Q101" s="15">
        <f t="shared" si="7"/>
        <v>142765</v>
      </c>
    </row>
    <row r="102" spans="1:17" ht="38.25" x14ac:dyDescent="0.25">
      <c r="A102" s="18">
        <v>101</v>
      </c>
      <c r="B102" s="19" t="s">
        <v>491</v>
      </c>
      <c r="C102" s="19" t="s">
        <v>492</v>
      </c>
      <c r="D102" s="20">
        <v>35</v>
      </c>
      <c r="E102" s="18">
        <v>34</v>
      </c>
      <c r="F102" s="18">
        <v>2808</v>
      </c>
      <c r="G102" s="21" t="s">
        <v>19</v>
      </c>
      <c r="H102" s="18" t="s">
        <v>493</v>
      </c>
      <c r="I102" s="18" t="s">
        <v>303</v>
      </c>
      <c r="J102" s="22" t="s">
        <v>494</v>
      </c>
      <c r="K102" s="22" t="s">
        <v>495</v>
      </c>
      <c r="L102" s="19" t="s">
        <v>496</v>
      </c>
      <c r="M102" s="23" t="s">
        <v>497</v>
      </c>
      <c r="N102" s="22" t="s">
        <v>19</v>
      </c>
      <c r="O102" s="24">
        <v>368779</v>
      </c>
      <c r="P102" s="24">
        <f t="shared" si="6"/>
        <v>11063</v>
      </c>
      <c r="Q102" s="25">
        <f t="shared" si="7"/>
        <v>387205</v>
      </c>
    </row>
    <row r="103" spans="1:17" x14ac:dyDescent="0.25">
      <c r="B103" s="16" t="s">
        <v>498</v>
      </c>
    </row>
  </sheetData>
  <autoFilter ref="A1:N101" xr:uid="{00000000-0009-0000-0000-000000000000}"/>
  <dataValidations count="1">
    <dataValidation type="list" allowBlank="1" sqref="N2:N101 N102" xr:uid="{00000000-0002-0000-0000-000000000000}">
      <formula1>"Sí,No,Tal vez"</formula1>
    </dataValidation>
  </dataValidations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27" r:id="rId26" xr:uid="{00000000-0004-0000-0000-000019000000}"/>
    <hyperlink ref="M28" r:id="rId27" xr:uid="{00000000-0004-0000-0000-00001A000000}"/>
    <hyperlink ref="M29" r:id="rId28" xr:uid="{00000000-0004-0000-0000-00001B000000}"/>
    <hyperlink ref="M30" r:id="rId29" xr:uid="{00000000-0004-0000-0000-00001C000000}"/>
    <hyperlink ref="M31" r:id="rId30" xr:uid="{00000000-0004-0000-0000-00001D000000}"/>
    <hyperlink ref="M32" r:id="rId31" xr:uid="{00000000-0004-0000-0000-00001E000000}"/>
    <hyperlink ref="M33" r:id="rId32" xr:uid="{00000000-0004-0000-0000-00001F000000}"/>
    <hyperlink ref="M34" r:id="rId33" xr:uid="{00000000-0004-0000-0000-000020000000}"/>
    <hyperlink ref="M35" r:id="rId34" xr:uid="{00000000-0004-0000-0000-000021000000}"/>
    <hyperlink ref="M36" r:id="rId35" xr:uid="{00000000-0004-0000-0000-000022000000}"/>
    <hyperlink ref="M37" r:id="rId36" xr:uid="{00000000-0004-0000-0000-000023000000}"/>
    <hyperlink ref="M38" r:id="rId37" xr:uid="{00000000-0004-0000-0000-000024000000}"/>
    <hyperlink ref="M39" r:id="rId38" xr:uid="{00000000-0004-0000-0000-000025000000}"/>
    <hyperlink ref="M40" r:id="rId39" xr:uid="{00000000-0004-0000-0000-000026000000}"/>
    <hyperlink ref="M41" r:id="rId40" xr:uid="{00000000-0004-0000-0000-000027000000}"/>
    <hyperlink ref="M42" r:id="rId41" xr:uid="{00000000-0004-0000-0000-000028000000}"/>
    <hyperlink ref="M43" r:id="rId42" xr:uid="{00000000-0004-0000-0000-000029000000}"/>
    <hyperlink ref="M44" r:id="rId43" xr:uid="{00000000-0004-0000-0000-00002A000000}"/>
    <hyperlink ref="M45" r:id="rId44" xr:uid="{00000000-0004-0000-0000-00002B000000}"/>
    <hyperlink ref="M46" r:id="rId45" xr:uid="{00000000-0004-0000-0000-00002C000000}"/>
    <hyperlink ref="M47" r:id="rId46" xr:uid="{00000000-0004-0000-0000-00002D000000}"/>
    <hyperlink ref="M48" r:id="rId47" xr:uid="{00000000-0004-0000-0000-00002E000000}"/>
    <hyperlink ref="M49" r:id="rId48" xr:uid="{00000000-0004-0000-0000-00002F000000}"/>
    <hyperlink ref="M50" r:id="rId49" xr:uid="{00000000-0004-0000-0000-000030000000}"/>
    <hyperlink ref="M51" r:id="rId50" xr:uid="{00000000-0004-0000-0000-000031000000}"/>
    <hyperlink ref="M52" r:id="rId51" xr:uid="{00000000-0004-0000-0000-000032000000}"/>
    <hyperlink ref="M53" r:id="rId52" xr:uid="{00000000-0004-0000-0000-000033000000}"/>
    <hyperlink ref="M54" r:id="rId53" xr:uid="{00000000-0004-0000-0000-000034000000}"/>
    <hyperlink ref="M55" r:id="rId54" xr:uid="{00000000-0004-0000-0000-000035000000}"/>
    <hyperlink ref="M56" r:id="rId55" xr:uid="{00000000-0004-0000-0000-000036000000}"/>
    <hyperlink ref="M57" r:id="rId56" xr:uid="{00000000-0004-0000-0000-000037000000}"/>
    <hyperlink ref="M58" r:id="rId57" xr:uid="{00000000-0004-0000-0000-000038000000}"/>
    <hyperlink ref="M59" r:id="rId58" xr:uid="{00000000-0004-0000-0000-000039000000}"/>
    <hyperlink ref="M60" r:id="rId59" xr:uid="{00000000-0004-0000-0000-00003A000000}"/>
    <hyperlink ref="M61" r:id="rId60" xr:uid="{00000000-0004-0000-0000-00003B000000}"/>
    <hyperlink ref="M62" r:id="rId61" xr:uid="{00000000-0004-0000-0000-00003C000000}"/>
    <hyperlink ref="M63" r:id="rId62" xr:uid="{00000000-0004-0000-0000-00003D000000}"/>
    <hyperlink ref="M64" r:id="rId63" xr:uid="{00000000-0004-0000-0000-00003E000000}"/>
    <hyperlink ref="M65" r:id="rId64" xr:uid="{00000000-0004-0000-0000-00003F000000}"/>
    <hyperlink ref="M66" r:id="rId65" xr:uid="{00000000-0004-0000-0000-000040000000}"/>
    <hyperlink ref="M67" r:id="rId66" xr:uid="{00000000-0004-0000-0000-000041000000}"/>
    <hyperlink ref="M68" r:id="rId67" xr:uid="{00000000-0004-0000-0000-000042000000}"/>
    <hyperlink ref="M69" r:id="rId68" xr:uid="{00000000-0004-0000-0000-000043000000}"/>
    <hyperlink ref="M70" r:id="rId69" xr:uid="{00000000-0004-0000-0000-000044000000}"/>
    <hyperlink ref="M71" r:id="rId70" xr:uid="{00000000-0004-0000-0000-000045000000}"/>
    <hyperlink ref="M72" r:id="rId71" xr:uid="{00000000-0004-0000-0000-000046000000}"/>
    <hyperlink ref="M73" r:id="rId72" xr:uid="{00000000-0004-0000-0000-000047000000}"/>
    <hyperlink ref="M74" r:id="rId73" xr:uid="{00000000-0004-0000-0000-000048000000}"/>
    <hyperlink ref="M75" r:id="rId74" xr:uid="{00000000-0004-0000-0000-000049000000}"/>
    <hyperlink ref="M76" r:id="rId75" xr:uid="{00000000-0004-0000-0000-00004A000000}"/>
    <hyperlink ref="M77" r:id="rId76" xr:uid="{00000000-0004-0000-0000-00004B000000}"/>
    <hyperlink ref="M78" r:id="rId77" xr:uid="{00000000-0004-0000-0000-00004C000000}"/>
    <hyperlink ref="M79" r:id="rId78" xr:uid="{00000000-0004-0000-0000-00004D000000}"/>
    <hyperlink ref="M80" r:id="rId79" xr:uid="{00000000-0004-0000-0000-00004E000000}"/>
    <hyperlink ref="M81" r:id="rId80" xr:uid="{00000000-0004-0000-0000-00004F000000}"/>
    <hyperlink ref="M82" r:id="rId81" xr:uid="{00000000-0004-0000-0000-000050000000}"/>
    <hyperlink ref="M83" r:id="rId82" xr:uid="{00000000-0004-0000-0000-000051000000}"/>
    <hyperlink ref="M84" r:id="rId83" xr:uid="{00000000-0004-0000-0000-000052000000}"/>
    <hyperlink ref="M85" r:id="rId84" xr:uid="{00000000-0004-0000-0000-000053000000}"/>
    <hyperlink ref="M86" r:id="rId85" xr:uid="{00000000-0004-0000-0000-000054000000}"/>
    <hyperlink ref="M87" r:id="rId86" xr:uid="{00000000-0004-0000-0000-000055000000}"/>
    <hyperlink ref="M88" r:id="rId87" xr:uid="{00000000-0004-0000-0000-000056000000}"/>
    <hyperlink ref="M89" r:id="rId88" xr:uid="{00000000-0004-0000-0000-000057000000}"/>
    <hyperlink ref="M90" r:id="rId89" xr:uid="{00000000-0004-0000-0000-000058000000}"/>
    <hyperlink ref="M91" r:id="rId90" xr:uid="{00000000-0004-0000-0000-000059000000}"/>
    <hyperlink ref="M92" r:id="rId91" xr:uid="{00000000-0004-0000-0000-00005A000000}"/>
    <hyperlink ref="M93" r:id="rId92" xr:uid="{00000000-0004-0000-0000-00005B000000}"/>
    <hyperlink ref="M94" r:id="rId93" xr:uid="{00000000-0004-0000-0000-00005C000000}"/>
    <hyperlink ref="M95" r:id="rId94" xr:uid="{00000000-0004-0000-0000-00005D000000}"/>
    <hyperlink ref="M96" r:id="rId95" xr:uid="{00000000-0004-0000-0000-00005E000000}"/>
    <hyperlink ref="M97" r:id="rId96" xr:uid="{00000000-0004-0000-0000-00005F000000}"/>
    <hyperlink ref="M98" r:id="rId97" xr:uid="{00000000-0004-0000-0000-000060000000}"/>
    <hyperlink ref="M99" r:id="rId98" xr:uid="{00000000-0004-0000-0000-000061000000}"/>
    <hyperlink ref="M100" r:id="rId99" xr:uid="{00000000-0004-0000-0000-000062000000}"/>
    <hyperlink ref="M101" r:id="rId100" xr:uid="{00000000-0004-0000-0000-000063000000}"/>
    <hyperlink ref="M102" r:id="rId101" xr:uid="{00000000-0004-0000-0000-00006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Marcas monoproducto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Harcha</cp:lastModifiedBy>
  <dcterms:created xsi:type="dcterms:W3CDTF">2026-07-08T23:22:16Z</dcterms:created>
  <dcterms:modified xsi:type="dcterms:W3CDTF">2026-07-10T22:59:04Z</dcterms:modified>
</cp:coreProperties>
</file>