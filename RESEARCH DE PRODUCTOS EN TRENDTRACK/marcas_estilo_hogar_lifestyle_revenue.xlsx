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d35849779309b1/Escritorio/CLAUDE/DOCUMENTOS DE INVESTIGACIÓN/"/>
    </mc:Choice>
  </mc:AlternateContent>
  <xr:revisionPtr revIDLastSave="1" documentId="11_34B3E863B7C6CA2CEB7794B7595DCE3AB74BBBB7" xr6:coauthVersionLast="47" xr6:coauthVersionMax="47" xr10:uidLastSave="{622286D5-16A5-4771-B933-C626EEECC183}"/>
  <bookViews>
    <workbookView xWindow="-120" yWindow="-120" windowWidth="29040" windowHeight="15720" xr2:uid="{00000000-000D-0000-FFFF-FFFF00000000}"/>
  </bookViews>
  <sheets>
    <sheet name="Marcas estilo hogar-lifestyle" sheetId="1" r:id="rId1"/>
  </sheets>
  <definedNames>
    <definedName name="_xlnm._FilterDatabase" localSheetId="0" hidden="1">'Marcas estilo hogar-lifestyle'!$A$1:$Q$78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G43" i="1" s="1"/>
  <c r="F67" i="1"/>
  <c r="G67" i="1" s="1"/>
  <c r="F74" i="1"/>
  <c r="G74" i="1" s="1"/>
  <c r="F55" i="1"/>
  <c r="G55" i="1" s="1"/>
  <c r="F30" i="1"/>
  <c r="G30" i="1" s="1"/>
  <c r="F62" i="1"/>
  <c r="G62" i="1" s="1"/>
  <c r="F63" i="1"/>
  <c r="G63" i="1" s="1"/>
  <c r="F66" i="1"/>
  <c r="G66" i="1" s="1"/>
  <c r="F41" i="1"/>
  <c r="G41" i="1" s="1"/>
  <c r="F56" i="1"/>
  <c r="G56" i="1" s="1"/>
  <c r="F60" i="1"/>
  <c r="G60" i="1" s="1"/>
  <c r="F68" i="1"/>
  <c r="G68" i="1" s="1"/>
  <c r="G51" i="1"/>
  <c r="F51" i="1"/>
  <c r="G31" i="1"/>
  <c r="F31" i="1"/>
  <c r="F34" i="1"/>
  <c r="G34" i="1" s="1"/>
  <c r="F76" i="1"/>
  <c r="G76" i="1" s="1"/>
  <c r="F25" i="1"/>
  <c r="G25" i="1" s="1"/>
  <c r="F28" i="1"/>
  <c r="G28" i="1" s="1"/>
  <c r="F26" i="1"/>
  <c r="G26" i="1" s="1"/>
  <c r="F24" i="1"/>
  <c r="G24" i="1" s="1"/>
  <c r="G54" i="1"/>
  <c r="F54" i="1"/>
  <c r="F29" i="1"/>
  <c r="G29" i="1" s="1"/>
  <c r="F69" i="1"/>
  <c r="G69" i="1" s="1"/>
  <c r="F23" i="1"/>
  <c r="G23" i="1" s="1"/>
  <c r="F49" i="1"/>
  <c r="G49" i="1" s="1"/>
  <c r="F45" i="1"/>
  <c r="G45" i="1" s="1"/>
  <c r="F52" i="1"/>
  <c r="G52" i="1" s="1"/>
  <c r="F73" i="1"/>
  <c r="G73" i="1" s="1"/>
  <c r="F53" i="1"/>
  <c r="G53" i="1" s="1"/>
  <c r="F44" i="1"/>
  <c r="G44" i="1" s="1"/>
  <c r="F50" i="1"/>
  <c r="G50" i="1" s="1"/>
  <c r="F61" i="1"/>
  <c r="G61" i="1" s="1"/>
  <c r="F37" i="1"/>
  <c r="G37" i="1" s="1"/>
  <c r="F78" i="1"/>
  <c r="G78" i="1" s="1"/>
  <c r="F47" i="1"/>
  <c r="G47" i="1" s="1"/>
  <c r="F38" i="1"/>
  <c r="G38" i="1" s="1"/>
  <c r="F32" i="1"/>
  <c r="G32" i="1" s="1"/>
  <c r="G58" i="1"/>
  <c r="F58" i="1"/>
  <c r="F65" i="1"/>
  <c r="G65" i="1" s="1"/>
  <c r="F46" i="1"/>
  <c r="G46" i="1" s="1"/>
  <c r="F75" i="1"/>
  <c r="G75" i="1" s="1"/>
  <c r="F72" i="1"/>
  <c r="G72" i="1" s="1"/>
  <c r="F42" i="1"/>
  <c r="G42" i="1" s="1"/>
  <c r="F70" i="1"/>
  <c r="G70" i="1" s="1"/>
  <c r="F48" i="1"/>
  <c r="G48" i="1" s="1"/>
  <c r="F77" i="1"/>
  <c r="G77" i="1" s="1"/>
  <c r="G59" i="1"/>
  <c r="F59" i="1"/>
  <c r="G35" i="1"/>
  <c r="F35" i="1"/>
  <c r="F64" i="1"/>
  <c r="G64" i="1" s="1"/>
  <c r="F36" i="1"/>
  <c r="G36" i="1" s="1"/>
  <c r="F39" i="1"/>
  <c r="G39" i="1" s="1"/>
  <c r="F57" i="1"/>
  <c r="G57" i="1" s="1"/>
  <c r="F33" i="1"/>
  <c r="G33" i="1" s="1"/>
  <c r="F27" i="1"/>
  <c r="G27" i="1" s="1"/>
  <c r="G71" i="1"/>
  <c r="F71" i="1"/>
  <c r="F40" i="1"/>
  <c r="G40" i="1" s="1"/>
</calcChain>
</file>

<file path=xl/sharedStrings.xml><?xml version="1.0" encoding="utf-8"?>
<sst xmlns="http://schemas.openxmlformats.org/spreadsheetml/2006/main" count="751" uniqueCount="336">
  <si>
    <t>#</t>
  </si>
  <si>
    <t>Marca</t>
  </si>
  <si>
    <t>SKU principal</t>
  </si>
  <si>
    <t>Precio SKU (USD)</t>
  </si>
  <si>
    <t>Visitas/mes</t>
  </si>
  <si>
    <t>Compras est./mes (3%)</t>
  </si>
  <si>
    <t>Revenue est./mes (USD)</t>
  </si>
  <si>
    <t>Nº SKU</t>
  </si>
  <si>
    <t>Ads activos</t>
  </si>
  <si>
    <t>En ascenso</t>
  </si>
  <si>
    <t>Hispano</t>
  </si>
  <si>
    <t>Creada</t>
  </si>
  <si>
    <t>Mercados top</t>
  </si>
  <si>
    <t>Tipo</t>
  </si>
  <si>
    <t>Regulación Chile</t>
  </si>
  <si>
    <t>Link</t>
  </si>
  <si>
    <t>¿Sirve? (Sí/No)</t>
  </si>
  <si>
    <t>DISCONTINUED - Loop EU</t>
  </si>
  <si>
    <t>Experience</t>
  </si>
  <si>
    <t>Sí</t>
  </si>
  <si>
    <t>No</t>
  </si>
  <si>
    <t>2020-11</t>
  </si>
  <si>
    <t>Gadget / Hogar</t>
  </si>
  <si>
    <t>Ninguna</t>
  </si>
  <si>
    <t>https://eu.loopearplugs.com</t>
  </si>
  <si>
    <t>Purdy &amp; Figg Inc</t>
  </si>
  <si>
    <t>Signature Starter Kit.</t>
  </si>
  <si>
    <t>s/d</t>
  </si>
  <si>
    <t>2026-03</t>
  </si>
  <si>
    <t>US, IN, FR</t>
  </si>
  <si>
    <t>https://us.purdyandfigg.com</t>
  </si>
  <si>
    <t>The Fleece Company Deutschland</t>
  </si>
  <si>
    <t>Musselin Kissenbezug ( 2 Stück )</t>
  </si>
  <si>
    <t>DE</t>
  </si>
  <si>
    <t>https://thefleececompany.de</t>
  </si>
  <si>
    <t>Spotminders.</t>
  </si>
  <si>
    <t>Tracking PRO Set</t>
  </si>
  <si>
    <t>2024-04</t>
  </si>
  <si>
    <t>US, GB, AU</t>
  </si>
  <si>
    <t>https://spotminders.com</t>
  </si>
  <si>
    <t>Nobl Travel EU</t>
  </si>
  <si>
    <t>Carry-On: All-in-One</t>
  </si>
  <si>
    <t>2025-01</t>
  </si>
  <si>
    <t>ES, DE, CH</t>
  </si>
  <si>
    <t>https://eu.nobltravel.com</t>
  </si>
  <si>
    <t>Muscle Mat NZ</t>
  </si>
  <si>
    <t>Muscle Mat Luxury Mattress Topper</t>
  </si>
  <si>
    <t>2022-07</t>
  </si>
  <si>
    <t>NZ, US, AU</t>
  </si>
  <si>
    <t>https://musclemat.co.nz</t>
  </si>
  <si>
    <t>Muscle Mat USA</t>
  </si>
  <si>
    <t>Relax Mat - 1.4" Thick Soft Foam Play Mat</t>
  </si>
  <si>
    <t>2024-08</t>
  </si>
  <si>
    <t>US, AU, FR</t>
  </si>
  <si>
    <t>https://musclemat.com</t>
  </si>
  <si>
    <t>My Store</t>
  </si>
  <si>
    <t>Saker Sakerplus 3-in-1 Wireless Charging Station for iPhone 16/15/14/13/12, Apple Watch 10/9/8/SE/Ultra, AirPods 4/3/2/Pro | Adjustable Stand, Fast Charging, Cybertruck Design</t>
  </si>
  <si>
    <t>2025-10</t>
  </si>
  <si>
    <t>Electrónico</t>
  </si>
  <si>
    <t>SEC (220V/batería)</t>
  </si>
  <si>
    <t>https://nivelax.myshopify.com</t>
  </si>
  <si>
    <t>ZIMA DENTAL US</t>
  </si>
  <si>
    <t>Ultrasonic Boosting Tablets</t>
  </si>
  <si>
    <t>2021-06</t>
  </si>
  <si>
    <t>US, CA, GB</t>
  </si>
  <si>
    <t>https://zimadental.co</t>
  </si>
  <si>
    <t>Kimberly</t>
  </si>
  <si>
    <t>10 in 1 Steam Mop | Handheld Steamer, Fast Heat &amp; Deep Cleaning</t>
  </si>
  <si>
    <t>2026-04</t>
  </si>
  <si>
    <t>https://jonatas.shop</t>
  </si>
  <si>
    <t>Shayla</t>
  </si>
  <si>
    <t>Boho Deluxe Tufted Embroidery Comforter Set</t>
  </si>
  <si>
    <t>US</t>
  </si>
  <si>
    <t>https://shayla.co</t>
  </si>
  <si>
    <t>Bohobed</t>
  </si>
  <si>
    <t>Boho Deluxe Embroidery Comforter Set</t>
  </si>
  <si>
    <t>2025-09</t>
  </si>
  <si>
    <t>https://bohobed.com</t>
  </si>
  <si>
    <t>IONIX LABS</t>
  </si>
  <si>
    <t>Sculpt 3D – Lift &amp; Smooth Leggings</t>
  </si>
  <si>
    <t>2025-12</t>
  </si>
  <si>
    <t>US, MA, IL</t>
  </si>
  <si>
    <t>https://getionix.com</t>
  </si>
  <si>
    <t>shopvittoriaroma.it</t>
  </si>
  <si>
    <t>Anna - Scarpa Comoda Donna</t>
  </si>
  <si>
    <t>2023-11</t>
  </si>
  <si>
    <t>https://shopvittoriaroma.it</t>
  </si>
  <si>
    <t>coziya</t>
  </si>
  <si>
    <t>Matelas gonflable Coziya</t>
  </si>
  <si>
    <t>2022-01</t>
  </si>
  <si>
    <t>FR, ID, ES</t>
  </si>
  <si>
    <t>https://coziya-outdoor.com</t>
  </si>
  <si>
    <t>Swiss LifeBox</t>
  </si>
  <si>
    <t>Sentinelle PRO - Radio d'urgence multifonction</t>
  </si>
  <si>
    <t>2026-01</t>
  </si>
  <si>
    <t>FR</t>
  </si>
  <si>
    <t>https://swiss-lifebox.ch</t>
  </si>
  <si>
    <t>babybub</t>
  </si>
  <si>
    <t>Bub's Maternity Pillow</t>
  </si>
  <si>
    <t>2021-03</t>
  </si>
  <si>
    <t>US, GB, CA</t>
  </si>
  <si>
    <t>https://babybub.com</t>
  </si>
  <si>
    <t>babybub Australia</t>
  </si>
  <si>
    <t>2023-06</t>
  </si>
  <si>
    <t>AU</t>
  </si>
  <si>
    <t>https://babybub.com.au</t>
  </si>
  <si>
    <t>Kimbo.official</t>
  </si>
  <si>
    <t>Kimbo Rolling Sharpener</t>
  </si>
  <si>
    <t>2021-05</t>
  </si>
  <si>
    <t>AU, US, VN</t>
  </si>
  <si>
    <t>https://kimboaustralia.com</t>
  </si>
  <si>
    <t>Kimbo Knives</t>
  </si>
  <si>
    <t>AU, US</t>
  </si>
  <si>
    <t>https://kimboknives.com</t>
  </si>
  <si>
    <t>BRYN - 🇫🇮</t>
  </si>
  <si>
    <t>Klassinen Grillauskori</t>
  </si>
  <si>
    <t>FI</t>
  </si>
  <si>
    <t>https://bryngrill.fi</t>
  </si>
  <si>
    <t>AIRLOCK</t>
  </si>
  <si>
    <t>AIRLOCK One</t>
  </si>
  <si>
    <t>2020-12</t>
  </si>
  <si>
    <t>US, FR, AU</t>
  </si>
  <si>
    <t>https://airlockusa.com</t>
  </si>
  <si>
    <t>Mariah</t>
  </si>
  <si>
    <t>Cordless Vacuum Cleaner | 180W Strong Suction for Carpet Floor Pet Hair &amp; Car</t>
  </si>
  <si>
    <t>2026-05</t>
  </si>
  <si>
    <t>https://maximil.shop</t>
  </si>
  <si>
    <t>Geneceve</t>
  </si>
  <si>
    <t>14 in 1 Multi Cooker | 8.5QT Large Capacity Smart Cooker</t>
  </si>
  <si>
    <t>https://geneceve.shop</t>
  </si>
  <si>
    <t>MUSSELIN &amp; CO.</t>
  </si>
  <si>
    <t>https://musselinco.de</t>
  </si>
  <si>
    <t>Lyra CZ</t>
  </si>
  <si>
    <t>DentaClean - Ultrazvukový a UV čistič</t>
  </si>
  <si>
    <t>https://try-lyra.com</t>
  </si>
  <si>
    <t>La Berge</t>
  </si>
  <si>
    <t>Le Tapis de Bain Galet</t>
  </si>
  <si>
    <t>2025-08</t>
  </si>
  <si>
    <t>FR, US</t>
  </si>
  <si>
    <t>https://laberge.fr</t>
  </si>
  <si>
    <t>AESKA</t>
  </si>
  <si>
    <t>Magnetic Shoehorn</t>
  </si>
  <si>
    <t>SE, TH, TR</t>
  </si>
  <si>
    <t>https://aeska.co</t>
  </si>
  <si>
    <t>Hears</t>
  </si>
  <si>
    <t>2024-01</t>
  </si>
  <si>
    <t>US, NL, GB</t>
  </si>
  <si>
    <t>https://hears.com</t>
  </si>
  <si>
    <t>Krazy Klean</t>
  </si>
  <si>
    <t>Pumice Stone</t>
  </si>
  <si>
    <t>US, TH, PH</t>
  </si>
  <si>
    <t>https://krazyklean.com</t>
  </si>
  <si>
    <t>ZenPuff Co</t>
  </si>
  <si>
    <t>ZenPuff Luxury Aluminum/Glass Water Bottle</t>
  </si>
  <si>
    <t>US, CA, IN</t>
  </si>
  <si>
    <t>https://zenpuff.co</t>
  </si>
  <si>
    <t>Tea Harmony</t>
  </si>
  <si>
    <t>SOLO TEA - Rouge Feu</t>
  </si>
  <si>
    <t>2024-10</t>
  </si>
  <si>
    <t>https://tea-harmony.com</t>
  </si>
  <si>
    <t>Breescape</t>
  </si>
  <si>
    <t>Breescape Cooling Sheets</t>
  </si>
  <si>
    <t>2024-12</t>
  </si>
  <si>
    <t>https://breescape.com</t>
  </si>
  <si>
    <t>Grill Mästaren</t>
  </si>
  <si>
    <t>Grillkorgen - Toppkvalitet, alltid perfekt grillat</t>
  </si>
  <si>
    <t>2025-06</t>
  </si>
  <si>
    <t>https://grillmastaren.se</t>
  </si>
  <si>
    <t>Norrdiva</t>
  </si>
  <si>
    <t>Eventyrmåtte</t>
  </si>
  <si>
    <t>https://norrdiva.dk</t>
  </si>
  <si>
    <t>Zlatiya.</t>
  </si>
  <si>
    <t>PRO MÉHO SYNA | NAVŽDY SPOJENI | KOŽENÝ NÁRAMEK</t>
  </si>
  <si>
    <t>https://zlatiya.com</t>
  </si>
  <si>
    <t>Ferruciaa</t>
  </si>
  <si>
    <t>A MI HIJO | UNIDOS PARA SIEMPRE | PULSERA DE CUERO</t>
  </si>
  <si>
    <t>2025-04</t>
  </si>
  <si>
    <t>https://ferruciaa.com</t>
  </si>
  <si>
    <t>Eternellea.</t>
  </si>
  <si>
    <t>ΣΤΟΝ ΓΙΟ ΜΟΥ | ΓΙΑ ΠΑΝΤΑ ΜΑΖΙ | ΔΕΡΜΑΤΙΝΟ ΒΡΑΧΙΟΛΙ</t>
  </si>
  <si>
    <t>https://eternellea.com</t>
  </si>
  <si>
    <t>Valerria</t>
  </si>
  <si>
    <t>НА МОЯ СИН | ЗАВИНАГИ СВЪРЗАНИ | КОЖЕНА ГРИВНА</t>
  </si>
  <si>
    <t>2025-11</t>
  </si>
  <si>
    <t>https://valerria.com</t>
  </si>
  <si>
    <t>Zound</t>
  </si>
  <si>
    <t>Zound Earplugs</t>
  </si>
  <si>
    <t>2019-09</t>
  </si>
  <si>
    <t>US, BR, GB</t>
  </si>
  <si>
    <t>https://experiencezound.com</t>
  </si>
  <si>
    <t>Zeeksack</t>
  </si>
  <si>
    <t>The Organizer 30L</t>
  </si>
  <si>
    <t>https://zeeksack.eu</t>
  </si>
  <si>
    <t>Clyvora</t>
  </si>
  <si>
    <t>Steam Mop Cleaner | Lightweight Deep Cleaning for Hardwood Tile &amp; Carpet</t>
  </si>
  <si>
    <t>https://charlott.shop</t>
  </si>
  <si>
    <t>FTL</t>
  </si>
  <si>
    <t>The FTL Pro</t>
  </si>
  <si>
    <t>2021-08</t>
  </si>
  <si>
    <t>https://ftlbags.com</t>
  </si>
  <si>
    <t>FoodCycler</t>
  </si>
  <si>
    <t>Carbon Refill Pack</t>
  </si>
  <si>
    <t>2022-09</t>
  </si>
  <si>
    <t>US, CA, TW</t>
  </si>
  <si>
    <t>https://foodcycler.com</t>
  </si>
  <si>
    <t>La Maison de Louise</t>
  </si>
  <si>
    <t>Sac à Pain en Cire d'Abeille La Maison de Louise — Format 30 x 40 cm</t>
  </si>
  <si>
    <t>https://maison-de-louise.com</t>
  </si>
  <si>
    <t>MAGNETIC BAG COMPANY</t>
  </si>
  <si>
    <t>MAGNETIC BOTTLE BAG</t>
  </si>
  <si>
    <t>2022-11</t>
  </si>
  <si>
    <t>US, DE, TR</t>
  </si>
  <si>
    <t>https://magneticbagcompany.com</t>
  </si>
  <si>
    <t>Taller Lorca</t>
  </si>
  <si>
    <t>Lorca Wallet 2.0</t>
  </si>
  <si>
    <t>ES</t>
  </si>
  <si>
    <t>https://tallerlorca.com</t>
  </si>
  <si>
    <t>MAMMOTION</t>
  </si>
  <si>
    <t>Payments for After-Sales Items</t>
  </si>
  <si>
    <t>2023-10</t>
  </si>
  <si>
    <t>US, FR, DE</t>
  </si>
  <si>
    <t>https://mammotion.com</t>
  </si>
  <si>
    <t>Lymow Tech</t>
  </si>
  <si>
    <t>Lymow One Plus Robotic Lawn Mower</t>
  </si>
  <si>
    <t>2025-02</t>
  </si>
  <si>
    <t>https://lymow.com</t>
  </si>
  <si>
    <t>KINU</t>
  </si>
  <si>
    <t>Funda de Almohada de Seda</t>
  </si>
  <si>
    <t>2023-12</t>
  </si>
  <si>
    <t>ES, MX, AR</t>
  </si>
  <si>
    <t>https://kinubrand.com</t>
  </si>
  <si>
    <t>Mylky</t>
  </si>
  <si>
    <t>2025-03</t>
  </si>
  <si>
    <t>IT</t>
  </si>
  <si>
    <t>https://mylky.it</t>
  </si>
  <si>
    <t>Sleeper Hold</t>
  </si>
  <si>
    <t>Sleeper Hold Travel Pillow</t>
  </si>
  <si>
    <t>https://sleeperhold.com</t>
  </si>
  <si>
    <t>OMHU EU</t>
  </si>
  <si>
    <t>TEDDY Sofa</t>
  </si>
  <si>
    <t>2024-03</t>
  </si>
  <si>
    <t>US, GB, FR</t>
  </si>
  <si>
    <t>https://omhucph.com</t>
  </si>
  <si>
    <t>store.igarden.ai</t>
  </si>
  <si>
    <t>iGarden Robotic Pool Cleaner K Series</t>
  </si>
  <si>
    <t>US, CA, FR</t>
  </si>
  <si>
    <t>https://store.igarden.ai</t>
  </si>
  <si>
    <t>Toilet paper that builds toilets | Who Gives A Crap AU</t>
  </si>
  <si>
    <t>100% Bamboo Toilet Paper</t>
  </si>
  <si>
    <t>2015-09</t>
  </si>
  <si>
    <t>US, AU, GB</t>
  </si>
  <si>
    <t>https://whogivesacrap.org</t>
  </si>
  <si>
    <t>ErgoLab -</t>
  </si>
  <si>
    <t>หมอน Deep Sleep</t>
  </si>
  <si>
    <t>TH, MY</t>
  </si>
  <si>
    <t>https://ergolab.co</t>
  </si>
  <si>
    <t>Smile By Rudy</t>
  </si>
  <si>
    <t>Smile čistič mastnota a usazeniny – Připáleniny? Tady končíme! 500 ml</t>
  </si>
  <si>
    <t>https://smilebyrudy.sk</t>
  </si>
  <si>
    <t>Lindner &amp; Co Sverige</t>
  </si>
  <si>
    <t>Vinkylare - Slipp ljummet vin</t>
  </si>
  <si>
    <t>SE</t>
  </si>
  <si>
    <t>https://lindnerco.se</t>
  </si>
  <si>
    <t>Lindner &amp; Co Finland</t>
  </si>
  <si>
    <t>Viinijäähdytin – ei enää lämmintä viiniä</t>
  </si>
  <si>
    <t>2025-07</t>
  </si>
  <si>
    <t>https://lindnershop.fi</t>
  </si>
  <si>
    <t>Lindner &amp; Co</t>
  </si>
  <si>
    <t>Premium Vinkølebar - Hold vinen perfekt kølet</t>
  </si>
  <si>
    <t>https://shopwithlindner.dk</t>
  </si>
  <si>
    <t>Bearaby EU</t>
  </si>
  <si>
    <t>Cotton Weighted Blanket</t>
  </si>
  <si>
    <t>2024-07</t>
  </si>
  <si>
    <t>NL, DE, CH</t>
  </si>
  <si>
    <t>https://bearaby.eu</t>
  </si>
  <si>
    <t>Earth Breeze</t>
  </si>
  <si>
    <t>Reusable Laundry Detergent Sheet Container</t>
  </si>
  <si>
    <t>US, CA, DE</t>
  </si>
  <si>
    <t>https://earthbreeze.com</t>
  </si>
  <si>
    <t>UKTrtlTravel</t>
  </si>
  <si>
    <t>TRTL TRAVEL PILLOW</t>
  </si>
  <si>
    <t>2022-12</t>
  </si>
  <si>
    <t>GB, BR, AU</t>
  </si>
  <si>
    <t>https://uk.trtltravel.com</t>
  </si>
  <si>
    <t>Bombay Musk</t>
  </si>
  <si>
    <t>Magic Charcoal</t>
  </si>
  <si>
    <t>2025-05</t>
  </si>
  <si>
    <t>IN, US</t>
  </si>
  <si>
    <t>https://bombaymusk.com</t>
  </si>
  <si>
    <t>ZEDE Paris International</t>
  </si>
  <si>
    <t>ECOLE MILITAIRE</t>
  </si>
  <si>
    <t>https://en.zede-paris.com</t>
  </si>
  <si>
    <t>Down To Ground</t>
  </si>
  <si>
    <t>Grounding Socket Tester</t>
  </si>
  <si>
    <t>2023-08</t>
  </si>
  <si>
    <t>US, AU, CA</t>
  </si>
  <si>
    <t>https://downtoground.co</t>
  </si>
  <si>
    <t>The Foldie</t>
  </si>
  <si>
    <t>The Foldie Travel Bag</t>
  </si>
  <si>
    <t>https://the-foldie.com</t>
  </si>
  <si>
    <t>The Foldie EU</t>
  </si>
  <si>
    <t>https://thefoldie.eu</t>
  </si>
  <si>
    <t>Oasis</t>
  </si>
  <si>
    <t>Salva Tu Piel, Tu Pelo y Tu Salud del Desastre con Oasis</t>
  </si>
  <si>
    <t>ES, MX</t>
  </si>
  <si>
    <t>https://myoasishair.com</t>
  </si>
  <si>
    <t>Activ'Pet</t>
  </si>
  <si>
    <t>eBook Activ’Secours – Le guide essentiel pour protéger votre compagnon !</t>
  </si>
  <si>
    <t>FR, CH</t>
  </si>
  <si>
    <t>https://activ-pet.com</t>
  </si>
  <si>
    <t>SOYA PARIS</t>
  </si>
  <si>
    <t>Oreiller Soya 3.0</t>
  </si>
  <si>
    <t>FR, BE, CH</t>
  </si>
  <si>
    <t>https://soya-paris.com</t>
  </si>
  <si>
    <t>SUZUNOA</t>
  </si>
  <si>
    <t>SUZUNOA 旅行用真空圧縮バッグセット</t>
  </si>
  <si>
    <t>https://suzunoa.shop</t>
  </si>
  <si>
    <t>CloBombs</t>
  </si>
  <si>
    <t>Ultimate Home Odor Removal System - Professional Grade Odor Eliminator Kit</t>
  </si>
  <si>
    <t>https://clobombs.com</t>
  </si>
  <si>
    <t>Sculptara</t>
  </si>
  <si>
    <t>Off Grid 75+ DIY Survival Projects</t>
  </si>
  <si>
    <t>https://shopsculptara.com</t>
  </si>
  <si>
    <t>Rhona</t>
  </si>
  <si>
    <t>Rhona TravelVac Pro</t>
  </si>
  <si>
    <t>AU, NL, CA</t>
  </si>
  <si>
    <t>https://tryrhona.com</t>
  </si>
  <si>
    <t>vaultbagco.com</t>
  </si>
  <si>
    <t>Travel Pump</t>
  </si>
  <si>
    <t>2024-06</t>
  </si>
  <si>
    <t>GB, BE, FR</t>
  </si>
  <si>
    <t>https://vaultbagco.com</t>
  </si>
  <si>
    <t>Matsato</t>
  </si>
  <si>
    <t>Matsato Knife</t>
  </si>
  <si>
    <t>https://ca.matsato.com</t>
  </si>
  <si>
    <t>Metodología revenue estimado: Visitas/mes × 3% conversión = Compras est.; Compras × Precio SKU (AOV) = Revenue est./mes. Estimación gruesa — el tráfico es aproximación tipo SimilarWeb y el 3% es promedio de industria (editable en la fórmula).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</si>
</sst>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375623"/>
      <name val="Arial"/>
    </font>
    <font>
      <u/>
      <sz val="10"/>
      <color rgb="FF0563C1"/>
      <name val="Arial"/>
    </font>
    <font>
      <i/>
      <sz val="9"/>
      <color rgb="FF80808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/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ry-lyra.com/" TargetMode="External"/><Relationship Id="rId21" Type="http://schemas.openxmlformats.org/officeDocument/2006/relationships/hyperlink" Target="https://bryngrill.fi/" TargetMode="External"/><Relationship Id="rId42" Type="http://schemas.openxmlformats.org/officeDocument/2006/relationships/hyperlink" Target="https://charlott.shop/" TargetMode="External"/><Relationship Id="rId47" Type="http://schemas.openxmlformats.org/officeDocument/2006/relationships/hyperlink" Target="https://tallerlorca.com/" TargetMode="External"/><Relationship Id="rId63" Type="http://schemas.openxmlformats.org/officeDocument/2006/relationships/hyperlink" Target="https://uk.trtltravel.com/" TargetMode="External"/><Relationship Id="rId68" Type="http://schemas.openxmlformats.org/officeDocument/2006/relationships/hyperlink" Target="https://thefoldie.eu/" TargetMode="External"/><Relationship Id="rId16" Type="http://schemas.openxmlformats.org/officeDocument/2006/relationships/hyperlink" Target="https://swiss-lifebox.ch/" TargetMode="External"/><Relationship Id="rId11" Type="http://schemas.openxmlformats.org/officeDocument/2006/relationships/hyperlink" Target="https://shayla.co/" TargetMode="External"/><Relationship Id="rId24" Type="http://schemas.openxmlformats.org/officeDocument/2006/relationships/hyperlink" Target="https://geneceve.shop/" TargetMode="External"/><Relationship Id="rId32" Type="http://schemas.openxmlformats.org/officeDocument/2006/relationships/hyperlink" Target="https://tea-harmony.com/" TargetMode="External"/><Relationship Id="rId37" Type="http://schemas.openxmlformats.org/officeDocument/2006/relationships/hyperlink" Target="https://ferruciaa.com/" TargetMode="External"/><Relationship Id="rId40" Type="http://schemas.openxmlformats.org/officeDocument/2006/relationships/hyperlink" Target="https://experiencezound.com/" TargetMode="External"/><Relationship Id="rId45" Type="http://schemas.openxmlformats.org/officeDocument/2006/relationships/hyperlink" Target="https://maison-de-louise.com/" TargetMode="External"/><Relationship Id="rId53" Type="http://schemas.openxmlformats.org/officeDocument/2006/relationships/hyperlink" Target="https://omhucph.com/" TargetMode="External"/><Relationship Id="rId58" Type="http://schemas.openxmlformats.org/officeDocument/2006/relationships/hyperlink" Target="https://lindnerco.se/" TargetMode="External"/><Relationship Id="rId66" Type="http://schemas.openxmlformats.org/officeDocument/2006/relationships/hyperlink" Target="https://downtoground.co/" TargetMode="External"/><Relationship Id="rId74" Type="http://schemas.openxmlformats.org/officeDocument/2006/relationships/hyperlink" Target="https://shopsculptara.com/" TargetMode="External"/><Relationship Id="rId5" Type="http://schemas.openxmlformats.org/officeDocument/2006/relationships/hyperlink" Target="https://eu.nobltravel.com/" TargetMode="External"/><Relationship Id="rId61" Type="http://schemas.openxmlformats.org/officeDocument/2006/relationships/hyperlink" Target="https://bearaby.eu/" TargetMode="External"/><Relationship Id="rId19" Type="http://schemas.openxmlformats.org/officeDocument/2006/relationships/hyperlink" Target="https://kimboaustralia.com/" TargetMode="External"/><Relationship Id="rId14" Type="http://schemas.openxmlformats.org/officeDocument/2006/relationships/hyperlink" Target="https://shopvittoriaroma.it/" TargetMode="External"/><Relationship Id="rId22" Type="http://schemas.openxmlformats.org/officeDocument/2006/relationships/hyperlink" Target="https://airlockusa.com/" TargetMode="External"/><Relationship Id="rId27" Type="http://schemas.openxmlformats.org/officeDocument/2006/relationships/hyperlink" Target="https://laberge.fr/" TargetMode="External"/><Relationship Id="rId30" Type="http://schemas.openxmlformats.org/officeDocument/2006/relationships/hyperlink" Target="https://krazyklean.com/" TargetMode="External"/><Relationship Id="rId35" Type="http://schemas.openxmlformats.org/officeDocument/2006/relationships/hyperlink" Target="https://norrdiva.dk/" TargetMode="External"/><Relationship Id="rId43" Type="http://schemas.openxmlformats.org/officeDocument/2006/relationships/hyperlink" Target="https://ftlbags.com/" TargetMode="External"/><Relationship Id="rId48" Type="http://schemas.openxmlformats.org/officeDocument/2006/relationships/hyperlink" Target="https://mammotion.com/" TargetMode="External"/><Relationship Id="rId56" Type="http://schemas.openxmlformats.org/officeDocument/2006/relationships/hyperlink" Target="https://ergolab.co/" TargetMode="External"/><Relationship Id="rId64" Type="http://schemas.openxmlformats.org/officeDocument/2006/relationships/hyperlink" Target="https://bombaymusk.com/" TargetMode="External"/><Relationship Id="rId69" Type="http://schemas.openxmlformats.org/officeDocument/2006/relationships/hyperlink" Target="https://myoasishair.com/" TargetMode="External"/><Relationship Id="rId77" Type="http://schemas.openxmlformats.org/officeDocument/2006/relationships/hyperlink" Target="https://ca.matsato.com/" TargetMode="External"/><Relationship Id="rId8" Type="http://schemas.openxmlformats.org/officeDocument/2006/relationships/hyperlink" Target="https://nivelax.myshopify.com/" TargetMode="External"/><Relationship Id="rId51" Type="http://schemas.openxmlformats.org/officeDocument/2006/relationships/hyperlink" Target="https://mylky.it/" TargetMode="External"/><Relationship Id="rId72" Type="http://schemas.openxmlformats.org/officeDocument/2006/relationships/hyperlink" Target="https://suzunoa.shop/" TargetMode="External"/><Relationship Id="rId3" Type="http://schemas.openxmlformats.org/officeDocument/2006/relationships/hyperlink" Target="https://thefleececompany.de/" TargetMode="External"/><Relationship Id="rId12" Type="http://schemas.openxmlformats.org/officeDocument/2006/relationships/hyperlink" Target="https://bohobed.com/" TargetMode="External"/><Relationship Id="rId17" Type="http://schemas.openxmlformats.org/officeDocument/2006/relationships/hyperlink" Target="https://babybub.com/" TargetMode="External"/><Relationship Id="rId25" Type="http://schemas.openxmlformats.org/officeDocument/2006/relationships/hyperlink" Target="https://musselinco.de/" TargetMode="External"/><Relationship Id="rId33" Type="http://schemas.openxmlformats.org/officeDocument/2006/relationships/hyperlink" Target="https://breescape.com/" TargetMode="External"/><Relationship Id="rId38" Type="http://schemas.openxmlformats.org/officeDocument/2006/relationships/hyperlink" Target="https://eternellea.com/" TargetMode="External"/><Relationship Id="rId46" Type="http://schemas.openxmlformats.org/officeDocument/2006/relationships/hyperlink" Target="https://magneticbagcompany.com/" TargetMode="External"/><Relationship Id="rId59" Type="http://schemas.openxmlformats.org/officeDocument/2006/relationships/hyperlink" Target="https://lindnershop.fi/" TargetMode="External"/><Relationship Id="rId67" Type="http://schemas.openxmlformats.org/officeDocument/2006/relationships/hyperlink" Target="https://the-foldie.com/" TargetMode="External"/><Relationship Id="rId20" Type="http://schemas.openxmlformats.org/officeDocument/2006/relationships/hyperlink" Target="https://kimboknives.com/" TargetMode="External"/><Relationship Id="rId41" Type="http://schemas.openxmlformats.org/officeDocument/2006/relationships/hyperlink" Target="https://zeeksack.eu/" TargetMode="External"/><Relationship Id="rId54" Type="http://schemas.openxmlformats.org/officeDocument/2006/relationships/hyperlink" Target="https://store.igarden.ai/" TargetMode="External"/><Relationship Id="rId62" Type="http://schemas.openxmlformats.org/officeDocument/2006/relationships/hyperlink" Target="https://earthbreeze.com/" TargetMode="External"/><Relationship Id="rId70" Type="http://schemas.openxmlformats.org/officeDocument/2006/relationships/hyperlink" Target="https://activ-pet.com/" TargetMode="External"/><Relationship Id="rId75" Type="http://schemas.openxmlformats.org/officeDocument/2006/relationships/hyperlink" Target="https://tryrhona.com/" TargetMode="External"/><Relationship Id="rId1" Type="http://schemas.openxmlformats.org/officeDocument/2006/relationships/hyperlink" Target="https://eu.loopearplugs.com/" TargetMode="External"/><Relationship Id="rId6" Type="http://schemas.openxmlformats.org/officeDocument/2006/relationships/hyperlink" Target="https://musclemat.co.nz/" TargetMode="External"/><Relationship Id="rId15" Type="http://schemas.openxmlformats.org/officeDocument/2006/relationships/hyperlink" Target="https://coziya-outdoor.com/" TargetMode="External"/><Relationship Id="rId23" Type="http://schemas.openxmlformats.org/officeDocument/2006/relationships/hyperlink" Target="https://maximil.shop/" TargetMode="External"/><Relationship Id="rId28" Type="http://schemas.openxmlformats.org/officeDocument/2006/relationships/hyperlink" Target="https://aeska.co/" TargetMode="External"/><Relationship Id="rId36" Type="http://schemas.openxmlformats.org/officeDocument/2006/relationships/hyperlink" Target="https://zlatiya.com/" TargetMode="External"/><Relationship Id="rId49" Type="http://schemas.openxmlformats.org/officeDocument/2006/relationships/hyperlink" Target="https://lymow.com/" TargetMode="External"/><Relationship Id="rId57" Type="http://schemas.openxmlformats.org/officeDocument/2006/relationships/hyperlink" Target="https://smilebyrudy.sk/" TargetMode="External"/><Relationship Id="rId10" Type="http://schemas.openxmlformats.org/officeDocument/2006/relationships/hyperlink" Target="https://jonatas.shop/" TargetMode="External"/><Relationship Id="rId31" Type="http://schemas.openxmlformats.org/officeDocument/2006/relationships/hyperlink" Target="https://zenpuff.co/" TargetMode="External"/><Relationship Id="rId44" Type="http://schemas.openxmlformats.org/officeDocument/2006/relationships/hyperlink" Target="https://foodcycler.com/" TargetMode="External"/><Relationship Id="rId52" Type="http://schemas.openxmlformats.org/officeDocument/2006/relationships/hyperlink" Target="https://sleeperhold.com/" TargetMode="External"/><Relationship Id="rId60" Type="http://schemas.openxmlformats.org/officeDocument/2006/relationships/hyperlink" Target="https://shopwithlindner.dk/" TargetMode="External"/><Relationship Id="rId65" Type="http://schemas.openxmlformats.org/officeDocument/2006/relationships/hyperlink" Target="https://en.zede-paris.com/" TargetMode="External"/><Relationship Id="rId73" Type="http://schemas.openxmlformats.org/officeDocument/2006/relationships/hyperlink" Target="https://clobombs.com/" TargetMode="External"/><Relationship Id="rId4" Type="http://schemas.openxmlformats.org/officeDocument/2006/relationships/hyperlink" Target="https://spotminders.com/" TargetMode="External"/><Relationship Id="rId9" Type="http://schemas.openxmlformats.org/officeDocument/2006/relationships/hyperlink" Target="https://zimadental.co/" TargetMode="External"/><Relationship Id="rId13" Type="http://schemas.openxmlformats.org/officeDocument/2006/relationships/hyperlink" Target="https://getionix.com/" TargetMode="External"/><Relationship Id="rId18" Type="http://schemas.openxmlformats.org/officeDocument/2006/relationships/hyperlink" Target="https://babybub.com.au/" TargetMode="External"/><Relationship Id="rId39" Type="http://schemas.openxmlformats.org/officeDocument/2006/relationships/hyperlink" Target="https://valerria.com/" TargetMode="External"/><Relationship Id="rId34" Type="http://schemas.openxmlformats.org/officeDocument/2006/relationships/hyperlink" Target="https://grillmastaren.se/" TargetMode="External"/><Relationship Id="rId50" Type="http://schemas.openxmlformats.org/officeDocument/2006/relationships/hyperlink" Target="https://kinubrand.com/" TargetMode="External"/><Relationship Id="rId55" Type="http://schemas.openxmlformats.org/officeDocument/2006/relationships/hyperlink" Target="https://whogivesacrap.org/" TargetMode="External"/><Relationship Id="rId76" Type="http://schemas.openxmlformats.org/officeDocument/2006/relationships/hyperlink" Target="https://vaultbagco.com/" TargetMode="External"/><Relationship Id="rId7" Type="http://schemas.openxmlformats.org/officeDocument/2006/relationships/hyperlink" Target="https://musclemat.com/" TargetMode="External"/><Relationship Id="rId71" Type="http://schemas.openxmlformats.org/officeDocument/2006/relationships/hyperlink" Target="https://soya-paris.com/" TargetMode="External"/><Relationship Id="rId2" Type="http://schemas.openxmlformats.org/officeDocument/2006/relationships/hyperlink" Target="https://us.purdyandfigg.com/" TargetMode="External"/><Relationship Id="rId29" Type="http://schemas.openxmlformats.org/officeDocument/2006/relationships/hyperlink" Target="https://hea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pane xSplit="2" ySplit="1" topLeftCell="C15" activePane="bottomRight" state="frozen"/>
      <selection pane="topRight"/>
      <selection pane="bottomLeft"/>
      <selection pane="bottomRight" activeCell="P23" sqref="P23"/>
    </sheetView>
  </sheetViews>
  <sheetFormatPr baseColWidth="10" defaultColWidth="9.140625" defaultRowHeight="15" x14ac:dyDescent="0.25"/>
  <cols>
    <col min="1" max="1" width="4" customWidth="1"/>
    <col min="2" max="2" width="20" customWidth="1"/>
    <col min="3" max="3" width="34" customWidth="1"/>
    <col min="4" max="4" width="13" customWidth="1"/>
    <col min="5" max="5" width="11" customWidth="1"/>
    <col min="6" max="6" width="14" customWidth="1"/>
    <col min="7" max="7" width="16" customWidth="1"/>
    <col min="8" max="8" width="7" customWidth="1"/>
    <col min="9" max="10" width="10" customWidth="1"/>
    <col min="11" max="12" width="8" customWidth="1"/>
    <col min="13" max="14" width="14" customWidth="1"/>
    <col min="15" max="15" width="17" customWidth="1"/>
    <col min="16" max="16" width="26" customWidth="1"/>
    <col min="17" max="17" width="14" customWidth="1"/>
  </cols>
  <sheetData>
    <row r="1" spans="1:17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1">
        <v>2</v>
      </c>
      <c r="B2" s="12" t="s">
        <v>25</v>
      </c>
      <c r="C2" s="12" t="s">
        <v>26</v>
      </c>
      <c r="D2" s="13" t="s">
        <v>27</v>
      </c>
      <c r="E2" s="14">
        <v>17233</v>
      </c>
      <c r="F2" s="14" t="s">
        <v>27</v>
      </c>
      <c r="G2" s="6" t="s">
        <v>27</v>
      </c>
      <c r="H2" s="11">
        <v>18</v>
      </c>
      <c r="I2" s="11">
        <v>4133</v>
      </c>
      <c r="J2" s="7" t="s">
        <v>19</v>
      </c>
      <c r="K2" s="11" t="s">
        <v>20</v>
      </c>
      <c r="L2" s="11" t="s">
        <v>28</v>
      </c>
      <c r="M2" s="15" t="s">
        <v>29</v>
      </c>
      <c r="N2" s="15" t="s">
        <v>22</v>
      </c>
      <c r="O2" s="12" t="s">
        <v>23</v>
      </c>
      <c r="P2" s="9" t="s">
        <v>30</v>
      </c>
      <c r="Q2" s="10"/>
    </row>
    <row r="3" spans="1:17" ht="76.5" x14ac:dyDescent="0.25">
      <c r="A3" s="11">
        <v>8</v>
      </c>
      <c r="B3" s="12" t="s">
        <v>55</v>
      </c>
      <c r="C3" s="12" t="s">
        <v>56</v>
      </c>
      <c r="D3" s="13">
        <v>50</v>
      </c>
      <c r="E3" s="14" t="s">
        <v>27</v>
      </c>
      <c r="F3" s="14" t="s">
        <v>27</v>
      </c>
      <c r="G3" s="6" t="s">
        <v>27</v>
      </c>
      <c r="H3" s="11">
        <v>16</v>
      </c>
      <c r="I3" s="11">
        <v>1230</v>
      </c>
      <c r="J3" s="7" t="s">
        <v>19</v>
      </c>
      <c r="K3" s="11" t="s">
        <v>20</v>
      </c>
      <c r="L3" s="11" t="s">
        <v>57</v>
      </c>
      <c r="M3" s="15"/>
      <c r="N3" s="15" t="s">
        <v>58</v>
      </c>
      <c r="O3" s="12" t="s">
        <v>59</v>
      </c>
      <c r="P3" s="9" t="s">
        <v>60</v>
      </c>
      <c r="Q3" s="10"/>
    </row>
    <row r="4" spans="1:17" ht="25.5" x14ac:dyDescent="0.25">
      <c r="A4" s="11">
        <v>10</v>
      </c>
      <c r="B4" s="12" t="s">
        <v>66</v>
      </c>
      <c r="C4" s="12" t="s">
        <v>67</v>
      </c>
      <c r="D4" s="13">
        <v>33</v>
      </c>
      <c r="E4" s="14" t="s">
        <v>27</v>
      </c>
      <c r="F4" s="14" t="s">
        <v>27</v>
      </c>
      <c r="G4" s="6" t="s">
        <v>27</v>
      </c>
      <c r="H4" s="11">
        <v>7</v>
      </c>
      <c r="I4" s="11">
        <v>905</v>
      </c>
      <c r="J4" s="7" t="s">
        <v>19</v>
      </c>
      <c r="K4" s="11" t="s">
        <v>20</v>
      </c>
      <c r="L4" s="11" t="s">
        <v>68</v>
      </c>
      <c r="M4" s="15"/>
      <c r="N4" s="15" t="s">
        <v>58</v>
      </c>
      <c r="O4" s="12" t="s">
        <v>59</v>
      </c>
      <c r="P4" s="9" t="s">
        <v>69</v>
      </c>
      <c r="Q4" s="10"/>
    </row>
    <row r="5" spans="1:17" ht="25.5" x14ac:dyDescent="0.25">
      <c r="A5" s="11">
        <v>12</v>
      </c>
      <c r="B5" s="12" t="s">
        <v>74</v>
      </c>
      <c r="C5" s="12" t="s">
        <v>75</v>
      </c>
      <c r="D5" s="13">
        <v>99</v>
      </c>
      <c r="E5" s="14" t="s">
        <v>27</v>
      </c>
      <c r="F5" s="14" t="s">
        <v>27</v>
      </c>
      <c r="G5" s="6" t="s">
        <v>27</v>
      </c>
      <c r="H5" s="11">
        <v>3</v>
      </c>
      <c r="I5" s="11">
        <v>817</v>
      </c>
      <c r="J5" s="7" t="s">
        <v>19</v>
      </c>
      <c r="K5" s="11" t="s">
        <v>20</v>
      </c>
      <c r="L5" s="11" t="s">
        <v>76</v>
      </c>
      <c r="M5" s="15"/>
      <c r="N5" s="15" t="s">
        <v>22</v>
      </c>
      <c r="O5" s="12" t="s">
        <v>23</v>
      </c>
      <c r="P5" s="9" t="s">
        <v>77</v>
      </c>
      <c r="Q5" s="10"/>
    </row>
    <row r="6" spans="1:17" x14ac:dyDescent="0.25">
      <c r="A6" s="11">
        <v>14</v>
      </c>
      <c r="B6" s="12" t="s">
        <v>83</v>
      </c>
      <c r="C6" s="12" t="s">
        <v>84</v>
      </c>
      <c r="D6" s="13">
        <v>43</v>
      </c>
      <c r="E6" s="14" t="s">
        <v>27</v>
      </c>
      <c r="F6" s="14" t="s">
        <v>27</v>
      </c>
      <c r="G6" s="6" t="s">
        <v>27</v>
      </c>
      <c r="H6" s="11">
        <v>9</v>
      </c>
      <c r="I6" s="11">
        <v>754</v>
      </c>
      <c r="J6" s="7" t="s">
        <v>19</v>
      </c>
      <c r="K6" s="11" t="s">
        <v>20</v>
      </c>
      <c r="L6" s="11" t="s">
        <v>85</v>
      </c>
      <c r="M6" s="15"/>
      <c r="N6" s="15" t="s">
        <v>22</v>
      </c>
      <c r="O6" s="12" t="s">
        <v>23</v>
      </c>
      <c r="P6" s="9" t="s">
        <v>86</v>
      </c>
      <c r="Q6" s="10"/>
    </row>
    <row r="7" spans="1:17" ht="38.25" x14ac:dyDescent="0.25">
      <c r="A7" s="2">
        <v>23</v>
      </c>
      <c r="B7" s="3" t="s">
        <v>123</v>
      </c>
      <c r="C7" s="3" t="s">
        <v>124</v>
      </c>
      <c r="D7" s="4">
        <v>35</v>
      </c>
      <c r="E7" s="5" t="s">
        <v>27</v>
      </c>
      <c r="F7" s="5" t="s">
        <v>27</v>
      </c>
      <c r="G7" s="6" t="s">
        <v>27</v>
      </c>
      <c r="H7" s="2">
        <v>5</v>
      </c>
      <c r="I7" s="2">
        <v>606</v>
      </c>
      <c r="J7" s="7" t="s">
        <v>19</v>
      </c>
      <c r="K7" s="2" t="s">
        <v>20</v>
      </c>
      <c r="L7" s="2" t="s">
        <v>125</v>
      </c>
      <c r="M7" s="8"/>
      <c r="N7" s="8" t="s">
        <v>58</v>
      </c>
      <c r="O7" s="3" t="s">
        <v>59</v>
      </c>
      <c r="P7" s="9" t="s">
        <v>126</v>
      </c>
      <c r="Q7" s="10"/>
    </row>
    <row r="8" spans="1:17" ht="25.5" x14ac:dyDescent="0.25">
      <c r="A8" s="11">
        <v>24</v>
      </c>
      <c r="B8" s="12" t="s">
        <v>127</v>
      </c>
      <c r="C8" s="12" t="s">
        <v>128</v>
      </c>
      <c r="D8" s="13">
        <v>37</v>
      </c>
      <c r="E8" s="14" t="s">
        <v>27</v>
      </c>
      <c r="F8" s="14" t="s">
        <v>27</v>
      </c>
      <c r="G8" s="6" t="s">
        <v>27</v>
      </c>
      <c r="H8" s="11">
        <v>5</v>
      </c>
      <c r="I8" s="11">
        <v>606</v>
      </c>
      <c r="J8" s="7" t="s">
        <v>19</v>
      </c>
      <c r="K8" s="11" t="s">
        <v>20</v>
      </c>
      <c r="L8" s="11" t="s">
        <v>125</v>
      </c>
      <c r="M8" s="15"/>
      <c r="N8" s="15" t="s">
        <v>22</v>
      </c>
      <c r="O8" s="12" t="s">
        <v>23</v>
      </c>
      <c r="P8" s="9" t="s">
        <v>129</v>
      </c>
      <c r="Q8" s="10"/>
    </row>
    <row r="9" spans="1:17" x14ac:dyDescent="0.25">
      <c r="A9" s="2">
        <v>25</v>
      </c>
      <c r="B9" s="3" t="s">
        <v>130</v>
      </c>
      <c r="C9" s="3" t="s">
        <v>32</v>
      </c>
      <c r="D9" s="4">
        <v>43</v>
      </c>
      <c r="E9" s="5" t="s">
        <v>27</v>
      </c>
      <c r="F9" s="5" t="s">
        <v>27</v>
      </c>
      <c r="G9" s="6" t="s">
        <v>27</v>
      </c>
      <c r="H9" s="2">
        <v>4</v>
      </c>
      <c r="I9" s="2">
        <v>602</v>
      </c>
      <c r="J9" s="7" t="s">
        <v>19</v>
      </c>
      <c r="K9" s="2" t="s">
        <v>20</v>
      </c>
      <c r="L9" s="2" t="s">
        <v>28</v>
      </c>
      <c r="M9" s="8"/>
      <c r="N9" s="8" t="s">
        <v>22</v>
      </c>
      <c r="O9" s="3" t="s">
        <v>23</v>
      </c>
      <c r="P9" s="9" t="s">
        <v>131</v>
      </c>
      <c r="Q9" s="10"/>
    </row>
    <row r="10" spans="1:17" x14ac:dyDescent="0.25">
      <c r="A10" s="11">
        <v>26</v>
      </c>
      <c r="B10" s="12" t="s">
        <v>132</v>
      </c>
      <c r="C10" s="12" t="s">
        <v>133</v>
      </c>
      <c r="D10" s="13">
        <v>1459</v>
      </c>
      <c r="E10" s="14" t="s">
        <v>27</v>
      </c>
      <c r="F10" s="14" t="s">
        <v>27</v>
      </c>
      <c r="G10" s="6" t="s">
        <v>27</v>
      </c>
      <c r="H10" s="11">
        <v>1</v>
      </c>
      <c r="I10" s="11">
        <v>598</v>
      </c>
      <c r="J10" s="7" t="s">
        <v>19</v>
      </c>
      <c r="K10" s="11" t="s">
        <v>20</v>
      </c>
      <c r="L10" s="11" t="s">
        <v>68</v>
      </c>
      <c r="M10" s="15"/>
      <c r="N10" s="15" t="s">
        <v>22</v>
      </c>
      <c r="O10" s="12" t="s">
        <v>23</v>
      </c>
      <c r="P10" s="9" t="s">
        <v>134</v>
      </c>
      <c r="Q10" s="10"/>
    </row>
    <row r="11" spans="1:17" ht="25.5" x14ac:dyDescent="0.25">
      <c r="A11" s="11">
        <v>34</v>
      </c>
      <c r="B11" s="12" t="s">
        <v>164</v>
      </c>
      <c r="C11" s="12" t="s">
        <v>165</v>
      </c>
      <c r="D11" s="13">
        <v>28</v>
      </c>
      <c r="E11" s="14" t="s">
        <v>27</v>
      </c>
      <c r="F11" s="14" t="s">
        <v>27</v>
      </c>
      <c r="G11" s="6" t="s">
        <v>27</v>
      </c>
      <c r="H11" s="11">
        <v>5</v>
      </c>
      <c r="I11" s="11">
        <v>526</v>
      </c>
      <c r="J11" s="7" t="s">
        <v>19</v>
      </c>
      <c r="K11" s="11" t="s">
        <v>20</v>
      </c>
      <c r="L11" s="11" t="s">
        <v>166</v>
      </c>
      <c r="M11" s="15"/>
      <c r="N11" s="15" t="s">
        <v>22</v>
      </c>
      <c r="O11" s="12" t="s">
        <v>23</v>
      </c>
      <c r="P11" s="9" t="s">
        <v>167</v>
      </c>
      <c r="Q11" s="10"/>
    </row>
    <row r="12" spans="1:17" x14ac:dyDescent="0.25">
      <c r="A12" s="2">
        <v>35</v>
      </c>
      <c r="B12" s="3" t="s">
        <v>168</v>
      </c>
      <c r="C12" s="3" t="s">
        <v>169</v>
      </c>
      <c r="D12" s="4">
        <v>789</v>
      </c>
      <c r="E12" s="5" t="s">
        <v>27</v>
      </c>
      <c r="F12" s="5" t="s">
        <v>27</v>
      </c>
      <c r="G12" s="6" t="s">
        <v>27</v>
      </c>
      <c r="H12" s="2">
        <v>9</v>
      </c>
      <c r="I12" s="2">
        <v>525</v>
      </c>
      <c r="J12" s="7" t="s">
        <v>19</v>
      </c>
      <c r="K12" s="2" t="s">
        <v>20</v>
      </c>
      <c r="L12" s="2" t="s">
        <v>28</v>
      </c>
      <c r="M12" s="8"/>
      <c r="N12" s="8" t="s">
        <v>22</v>
      </c>
      <c r="O12" s="3" t="s">
        <v>23</v>
      </c>
      <c r="P12" s="9" t="s">
        <v>170</v>
      </c>
      <c r="Q12" s="10"/>
    </row>
    <row r="13" spans="1:17" ht="25.5" x14ac:dyDescent="0.25">
      <c r="A13" s="11">
        <v>36</v>
      </c>
      <c r="B13" s="12" t="s">
        <v>171</v>
      </c>
      <c r="C13" s="12" t="s">
        <v>172</v>
      </c>
      <c r="D13" s="13">
        <v>730</v>
      </c>
      <c r="E13" s="14" t="s">
        <v>27</v>
      </c>
      <c r="F13" s="14" t="s">
        <v>27</v>
      </c>
      <c r="G13" s="6" t="s">
        <v>27</v>
      </c>
      <c r="H13" s="11">
        <v>3</v>
      </c>
      <c r="I13" s="11">
        <v>524</v>
      </c>
      <c r="J13" s="7" t="s">
        <v>19</v>
      </c>
      <c r="K13" s="11" t="s">
        <v>20</v>
      </c>
      <c r="L13" s="11" t="s">
        <v>94</v>
      </c>
      <c r="M13" s="15"/>
      <c r="N13" s="15" t="s">
        <v>22</v>
      </c>
      <c r="O13" s="12" t="s">
        <v>23</v>
      </c>
      <c r="P13" s="9" t="s">
        <v>173</v>
      </c>
      <c r="Q13" s="10"/>
    </row>
    <row r="14" spans="1:17" ht="25.5" x14ac:dyDescent="0.25">
      <c r="A14" s="2">
        <v>37</v>
      </c>
      <c r="B14" s="3" t="s">
        <v>174</v>
      </c>
      <c r="C14" s="3" t="s">
        <v>175</v>
      </c>
      <c r="D14" s="4">
        <v>32</v>
      </c>
      <c r="E14" s="5" t="s">
        <v>27</v>
      </c>
      <c r="F14" s="5" t="s">
        <v>27</v>
      </c>
      <c r="G14" s="6" t="s">
        <v>27</v>
      </c>
      <c r="H14" s="2">
        <v>22</v>
      </c>
      <c r="I14" s="2">
        <v>524</v>
      </c>
      <c r="J14" s="7" t="s">
        <v>19</v>
      </c>
      <c r="K14" s="2" t="s">
        <v>20</v>
      </c>
      <c r="L14" s="2" t="s">
        <v>176</v>
      </c>
      <c r="M14" s="8"/>
      <c r="N14" s="8" t="s">
        <v>22</v>
      </c>
      <c r="O14" s="3" t="s">
        <v>23</v>
      </c>
      <c r="P14" s="9" t="s">
        <v>177</v>
      </c>
      <c r="Q14" s="10"/>
    </row>
    <row r="15" spans="1:17" ht="25.5" x14ac:dyDescent="0.25">
      <c r="A15" s="11">
        <v>38</v>
      </c>
      <c r="B15" s="12" t="s">
        <v>178</v>
      </c>
      <c r="C15" s="12" t="s">
        <v>179</v>
      </c>
      <c r="D15" s="13">
        <v>39</v>
      </c>
      <c r="E15" s="14" t="s">
        <v>27</v>
      </c>
      <c r="F15" s="14" t="s">
        <v>27</v>
      </c>
      <c r="G15" s="6" t="s">
        <v>27</v>
      </c>
      <c r="H15" s="11">
        <v>2</v>
      </c>
      <c r="I15" s="11">
        <v>524</v>
      </c>
      <c r="J15" s="7" t="s">
        <v>19</v>
      </c>
      <c r="K15" s="11" t="s">
        <v>20</v>
      </c>
      <c r="L15" s="11" t="s">
        <v>94</v>
      </c>
      <c r="M15" s="15"/>
      <c r="N15" s="15" t="s">
        <v>22</v>
      </c>
      <c r="O15" s="12" t="s">
        <v>23</v>
      </c>
      <c r="P15" s="9" t="s">
        <v>180</v>
      </c>
      <c r="Q15" s="10"/>
    </row>
    <row r="16" spans="1:17" ht="25.5" x14ac:dyDescent="0.25">
      <c r="A16" s="2">
        <v>39</v>
      </c>
      <c r="B16" s="3" t="s">
        <v>181</v>
      </c>
      <c r="C16" s="3" t="s">
        <v>182</v>
      </c>
      <c r="D16" s="4">
        <v>30</v>
      </c>
      <c r="E16" s="5" t="s">
        <v>27</v>
      </c>
      <c r="F16" s="5" t="s">
        <v>27</v>
      </c>
      <c r="G16" s="6" t="s">
        <v>27</v>
      </c>
      <c r="H16" s="2">
        <v>1</v>
      </c>
      <c r="I16" s="2">
        <v>524</v>
      </c>
      <c r="J16" s="7" t="s">
        <v>19</v>
      </c>
      <c r="K16" s="2" t="s">
        <v>20</v>
      </c>
      <c r="L16" s="2" t="s">
        <v>183</v>
      </c>
      <c r="M16" s="8"/>
      <c r="N16" s="8" t="s">
        <v>22</v>
      </c>
      <c r="O16" s="3" t="s">
        <v>23</v>
      </c>
      <c r="P16" s="9" t="s">
        <v>184</v>
      </c>
      <c r="Q16" s="10"/>
    </row>
    <row r="17" spans="1:17" ht="38.25" x14ac:dyDescent="0.25">
      <c r="A17" s="11">
        <v>42</v>
      </c>
      <c r="B17" s="12" t="s">
        <v>193</v>
      </c>
      <c r="C17" s="12" t="s">
        <v>194</v>
      </c>
      <c r="D17" s="13">
        <v>33</v>
      </c>
      <c r="E17" s="14" t="s">
        <v>27</v>
      </c>
      <c r="F17" s="14" t="s">
        <v>27</v>
      </c>
      <c r="G17" s="6" t="s">
        <v>27</v>
      </c>
      <c r="H17" s="11">
        <v>5</v>
      </c>
      <c r="I17" s="11">
        <v>401</v>
      </c>
      <c r="J17" s="7" t="s">
        <v>19</v>
      </c>
      <c r="K17" s="11" t="s">
        <v>20</v>
      </c>
      <c r="L17" s="11" t="s">
        <v>68</v>
      </c>
      <c r="M17" s="15"/>
      <c r="N17" s="15" t="s">
        <v>58</v>
      </c>
      <c r="O17" s="12" t="s">
        <v>59</v>
      </c>
      <c r="P17" s="9" t="s">
        <v>195</v>
      </c>
      <c r="Q17" s="10"/>
    </row>
    <row r="18" spans="1:17" ht="25.5" x14ac:dyDescent="0.25">
      <c r="A18" s="2">
        <v>57</v>
      </c>
      <c r="B18" s="3" t="s">
        <v>256</v>
      </c>
      <c r="C18" s="3" t="s">
        <v>257</v>
      </c>
      <c r="D18" s="4">
        <v>249</v>
      </c>
      <c r="E18" s="5" t="s">
        <v>27</v>
      </c>
      <c r="F18" s="5" t="s">
        <v>27</v>
      </c>
      <c r="G18" s="6" t="s">
        <v>27</v>
      </c>
      <c r="H18" s="2">
        <v>4</v>
      </c>
      <c r="I18" s="2">
        <v>908</v>
      </c>
      <c r="J18" s="2" t="s">
        <v>20</v>
      </c>
      <c r="K18" s="2" t="s">
        <v>20</v>
      </c>
      <c r="L18" s="2" t="s">
        <v>232</v>
      </c>
      <c r="M18" s="8"/>
      <c r="N18" s="8" t="s">
        <v>22</v>
      </c>
      <c r="O18" s="3" t="s">
        <v>23</v>
      </c>
      <c r="P18" s="9" t="s">
        <v>258</v>
      </c>
      <c r="Q18" s="10"/>
    </row>
    <row r="19" spans="1:17" x14ac:dyDescent="0.25">
      <c r="A19" s="2">
        <v>59</v>
      </c>
      <c r="B19" s="3" t="s">
        <v>263</v>
      </c>
      <c r="C19" s="3" t="s">
        <v>264</v>
      </c>
      <c r="D19" s="4">
        <v>43</v>
      </c>
      <c r="E19" s="5" t="s">
        <v>27</v>
      </c>
      <c r="F19" s="5" t="s">
        <v>27</v>
      </c>
      <c r="G19" s="6" t="s">
        <v>27</v>
      </c>
      <c r="H19" s="2">
        <v>3</v>
      </c>
      <c r="I19" s="2">
        <v>873</v>
      </c>
      <c r="J19" s="2" t="s">
        <v>20</v>
      </c>
      <c r="K19" s="2" t="s">
        <v>20</v>
      </c>
      <c r="L19" s="2" t="s">
        <v>265</v>
      </c>
      <c r="M19" s="8"/>
      <c r="N19" s="8" t="s">
        <v>22</v>
      </c>
      <c r="O19" s="3" t="s">
        <v>23</v>
      </c>
      <c r="P19" s="9" t="s">
        <v>266</v>
      </c>
      <c r="Q19" s="10"/>
    </row>
    <row r="20" spans="1:17" ht="25.5" x14ac:dyDescent="0.25">
      <c r="A20" s="11">
        <v>60</v>
      </c>
      <c r="B20" s="12" t="s">
        <v>267</v>
      </c>
      <c r="C20" s="12" t="s">
        <v>268</v>
      </c>
      <c r="D20" s="13">
        <v>299</v>
      </c>
      <c r="E20" s="14" t="s">
        <v>27</v>
      </c>
      <c r="F20" s="14" t="s">
        <v>27</v>
      </c>
      <c r="G20" s="6" t="s">
        <v>27</v>
      </c>
      <c r="H20" s="11">
        <v>17</v>
      </c>
      <c r="I20" s="11">
        <v>873</v>
      </c>
      <c r="J20" s="2" t="s">
        <v>20</v>
      </c>
      <c r="K20" s="11" t="s">
        <v>20</v>
      </c>
      <c r="L20" s="11" t="s">
        <v>162</v>
      </c>
      <c r="M20" s="15"/>
      <c r="N20" s="15" t="s">
        <v>22</v>
      </c>
      <c r="O20" s="12" t="s">
        <v>23</v>
      </c>
      <c r="P20" s="9" t="s">
        <v>269</v>
      </c>
      <c r="Q20" s="10"/>
    </row>
    <row r="21" spans="1:17" ht="25.5" x14ac:dyDescent="0.25">
      <c r="A21" s="11">
        <v>72</v>
      </c>
      <c r="B21" s="12" t="s">
        <v>314</v>
      </c>
      <c r="C21" s="12" t="s">
        <v>315</v>
      </c>
      <c r="D21" s="13">
        <v>60</v>
      </c>
      <c r="E21" s="14" t="s">
        <v>27</v>
      </c>
      <c r="F21" s="14" t="s">
        <v>27</v>
      </c>
      <c r="G21" s="6" t="s">
        <v>27</v>
      </c>
      <c r="H21" s="11">
        <v>8</v>
      </c>
      <c r="I21" s="11">
        <v>508</v>
      </c>
      <c r="J21" s="2" t="s">
        <v>20</v>
      </c>
      <c r="K21" s="11" t="s">
        <v>20</v>
      </c>
      <c r="L21" s="11" t="s">
        <v>28</v>
      </c>
      <c r="M21" s="15"/>
      <c r="N21" s="15" t="s">
        <v>22</v>
      </c>
      <c r="O21" s="12" t="s">
        <v>23</v>
      </c>
      <c r="P21" s="9" t="s">
        <v>316</v>
      </c>
      <c r="Q21" s="10"/>
    </row>
    <row r="22" spans="1:17" x14ac:dyDescent="0.25">
      <c r="A22" s="2">
        <v>77</v>
      </c>
      <c r="B22" s="3" t="s">
        <v>332</v>
      </c>
      <c r="C22" s="3" t="s">
        <v>333</v>
      </c>
      <c r="D22" s="4">
        <v>67</v>
      </c>
      <c r="E22" s="5" t="s">
        <v>27</v>
      </c>
      <c r="F22" s="5" t="s">
        <v>27</v>
      </c>
      <c r="G22" s="6" t="s">
        <v>27</v>
      </c>
      <c r="H22" s="2">
        <v>17</v>
      </c>
      <c r="I22" s="2">
        <v>370</v>
      </c>
      <c r="J22" s="2" t="s">
        <v>20</v>
      </c>
      <c r="K22" s="2" t="s">
        <v>20</v>
      </c>
      <c r="L22" s="2" t="s">
        <v>28</v>
      </c>
      <c r="M22" s="8"/>
      <c r="N22" s="8" t="s">
        <v>22</v>
      </c>
      <c r="O22" s="3" t="s">
        <v>23</v>
      </c>
      <c r="P22" s="9" t="s">
        <v>334</v>
      </c>
      <c r="Q22" s="10"/>
    </row>
    <row r="23" spans="1:17" x14ac:dyDescent="0.25">
      <c r="A23" s="2">
        <v>49</v>
      </c>
      <c r="B23" s="3" t="s">
        <v>222</v>
      </c>
      <c r="C23" s="3" t="s">
        <v>223</v>
      </c>
      <c r="D23" s="4">
        <v>3199</v>
      </c>
      <c r="E23" s="5">
        <v>4553606</v>
      </c>
      <c r="F23" s="5">
        <f>ROUND(E23*0.03,0)</f>
        <v>136608</v>
      </c>
      <c r="G23" s="6">
        <f>F23*D23</f>
        <v>437008992</v>
      </c>
      <c r="H23" s="2">
        <v>17</v>
      </c>
      <c r="I23" s="2">
        <v>1835</v>
      </c>
      <c r="J23" s="2" t="s">
        <v>20</v>
      </c>
      <c r="K23" s="2" t="s">
        <v>20</v>
      </c>
      <c r="L23" s="2" t="s">
        <v>224</v>
      </c>
      <c r="M23" s="8" t="s">
        <v>220</v>
      </c>
      <c r="N23" s="8" t="s">
        <v>22</v>
      </c>
      <c r="O23" s="3" t="s">
        <v>23</v>
      </c>
      <c r="P23" s="9" t="s">
        <v>225</v>
      </c>
      <c r="Q23" s="10"/>
    </row>
    <row r="24" spans="1:17" x14ac:dyDescent="0.25">
      <c r="A24" s="2">
        <v>53</v>
      </c>
      <c r="B24" s="3" t="s">
        <v>238</v>
      </c>
      <c r="C24" s="3" t="s">
        <v>239</v>
      </c>
      <c r="D24" s="4">
        <v>1831</v>
      </c>
      <c r="E24" s="5">
        <v>500528</v>
      </c>
      <c r="F24" s="5">
        <f>ROUND(E24*0.03,0)</f>
        <v>15016</v>
      </c>
      <c r="G24" s="6">
        <f>F24*D24</f>
        <v>27494296</v>
      </c>
      <c r="H24" s="2">
        <v>18</v>
      </c>
      <c r="I24" s="2">
        <v>971</v>
      </c>
      <c r="J24" s="2" t="s">
        <v>20</v>
      </c>
      <c r="K24" s="2" t="s">
        <v>20</v>
      </c>
      <c r="L24" s="2" t="s">
        <v>240</v>
      </c>
      <c r="M24" s="8" t="s">
        <v>241</v>
      </c>
      <c r="N24" s="8" t="s">
        <v>22</v>
      </c>
      <c r="O24" s="3" t="s">
        <v>23</v>
      </c>
      <c r="P24" s="9" t="s">
        <v>242</v>
      </c>
      <c r="Q24" s="10"/>
    </row>
    <row r="25" spans="1:17" x14ac:dyDescent="0.25">
      <c r="A25" s="11">
        <v>56</v>
      </c>
      <c r="B25" s="12" t="s">
        <v>252</v>
      </c>
      <c r="C25" s="12" t="s">
        <v>253</v>
      </c>
      <c r="D25" s="13">
        <v>2490</v>
      </c>
      <c r="E25" s="14">
        <v>203457</v>
      </c>
      <c r="F25" s="14">
        <f>ROUND(E25*0.03,0)</f>
        <v>6104</v>
      </c>
      <c r="G25" s="6">
        <f>F25*D25</f>
        <v>15198960</v>
      </c>
      <c r="H25" s="11">
        <v>16</v>
      </c>
      <c r="I25" s="11">
        <v>948</v>
      </c>
      <c r="J25" s="2" t="s">
        <v>20</v>
      </c>
      <c r="K25" s="11" t="s">
        <v>20</v>
      </c>
      <c r="L25" s="11" t="s">
        <v>57</v>
      </c>
      <c r="M25" s="15" t="s">
        <v>254</v>
      </c>
      <c r="N25" s="15" t="s">
        <v>22</v>
      </c>
      <c r="O25" s="12" t="s">
        <v>23</v>
      </c>
      <c r="P25" s="9" t="s">
        <v>255</v>
      </c>
      <c r="Q25" s="10"/>
    </row>
    <row r="26" spans="1:17" x14ac:dyDescent="0.25">
      <c r="A26" s="11">
        <v>54</v>
      </c>
      <c r="B26" s="12" t="s">
        <v>243</v>
      </c>
      <c r="C26" s="12" t="s">
        <v>244</v>
      </c>
      <c r="D26" s="13">
        <v>449</v>
      </c>
      <c r="E26" s="14">
        <v>223530</v>
      </c>
      <c r="F26" s="14">
        <f>ROUND(E26*0.03,0)</f>
        <v>6706</v>
      </c>
      <c r="G26" s="6">
        <f>F26*D26</f>
        <v>3010994</v>
      </c>
      <c r="H26" s="11">
        <v>15</v>
      </c>
      <c r="I26" s="11">
        <v>969</v>
      </c>
      <c r="J26" s="2" t="s">
        <v>20</v>
      </c>
      <c r="K26" s="11" t="s">
        <v>20</v>
      </c>
      <c r="L26" s="11" t="s">
        <v>176</v>
      </c>
      <c r="M26" s="15" t="s">
        <v>245</v>
      </c>
      <c r="N26" s="15" t="s">
        <v>22</v>
      </c>
      <c r="O26" s="12" t="s">
        <v>23</v>
      </c>
      <c r="P26" s="9" t="s">
        <v>246</v>
      </c>
      <c r="Q26" s="10"/>
    </row>
    <row r="27" spans="1:17" x14ac:dyDescent="0.25">
      <c r="A27" s="11">
        <v>4</v>
      </c>
      <c r="B27" s="12" t="s">
        <v>35</v>
      </c>
      <c r="C27" s="12" t="s">
        <v>36</v>
      </c>
      <c r="D27" s="13">
        <v>159</v>
      </c>
      <c r="E27" s="14">
        <v>351138</v>
      </c>
      <c r="F27" s="14">
        <f>ROUND(E27*0.03,0)</f>
        <v>10534</v>
      </c>
      <c r="G27" s="6">
        <f>F27*D27</f>
        <v>1674906</v>
      </c>
      <c r="H27" s="11">
        <v>21</v>
      </c>
      <c r="I27" s="11">
        <v>1752</v>
      </c>
      <c r="J27" s="7" t="s">
        <v>19</v>
      </c>
      <c r="K27" s="11" t="s">
        <v>20</v>
      </c>
      <c r="L27" s="11" t="s">
        <v>37</v>
      </c>
      <c r="M27" s="15" t="s">
        <v>38</v>
      </c>
      <c r="N27" s="15" t="s">
        <v>22</v>
      </c>
      <c r="O27" s="12" t="s">
        <v>23</v>
      </c>
      <c r="P27" s="9" t="s">
        <v>39</v>
      </c>
      <c r="Q27" s="10"/>
    </row>
    <row r="28" spans="1:17" ht="38.25" x14ac:dyDescent="0.25">
      <c r="A28" s="2">
        <v>55</v>
      </c>
      <c r="B28" s="3" t="s">
        <v>247</v>
      </c>
      <c r="C28" s="3" t="s">
        <v>248</v>
      </c>
      <c r="D28" s="4">
        <v>46</v>
      </c>
      <c r="E28" s="5">
        <v>1104330</v>
      </c>
      <c r="F28" s="5">
        <f>ROUND(E28*0.03,0)</f>
        <v>33130</v>
      </c>
      <c r="G28" s="6">
        <f>F28*D28</f>
        <v>1523980</v>
      </c>
      <c r="H28" s="2">
        <v>12</v>
      </c>
      <c r="I28" s="2">
        <v>950</v>
      </c>
      <c r="J28" s="2" t="s">
        <v>20</v>
      </c>
      <c r="K28" s="2" t="s">
        <v>20</v>
      </c>
      <c r="L28" s="2" t="s">
        <v>249</v>
      </c>
      <c r="M28" s="8" t="s">
        <v>250</v>
      </c>
      <c r="N28" s="8" t="s">
        <v>22</v>
      </c>
      <c r="O28" s="3" t="s">
        <v>23</v>
      </c>
      <c r="P28" s="9" t="s">
        <v>251</v>
      </c>
      <c r="Q28" s="10"/>
    </row>
    <row r="29" spans="1:17" x14ac:dyDescent="0.25">
      <c r="A29" s="2">
        <v>51</v>
      </c>
      <c r="B29" s="3" t="s">
        <v>231</v>
      </c>
      <c r="C29" s="3" t="s">
        <v>231</v>
      </c>
      <c r="D29" s="4">
        <v>193</v>
      </c>
      <c r="E29" s="5">
        <v>169244</v>
      </c>
      <c r="F29" s="5">
        <f>ROUND(E29*0.03,0)</f>
        <v>5077</v>
      </c>
      <c r="G29" s="6">
        <f>F29*D29</f>
        <v>979861</v>
      </c>
      <c r="H29" s="2">
        <v>16</v>
      </c>
      <c r="I29" s="2">
        <v>1195</v>
      </c>
      <c r="J29" s="2" t="s">
        <v>20</v>
      </c>
      <c r="K29" s="2" t="s">
        <v>20</v>
      </c>
      <c r="L29" s="2" t="s">
        <v>232</v>
      </c>
      <c r="M29" s="8" t="s">
        <v>233</v>
      </c>
      <c r="N29" s="8" t="s">
        <v>22</v>
      </c>
      <c r="O29" s="3" t="s">
        <v>23</v>
      </c>
      <c r="P29" s="9" t="s">
        <v>234</v>
      </c>
      <c r="Q29" s="10"/>
    </row>
    <row r="30" spans="1:17" x14ac:dyDescent="0.25">
      <c r="A30" s="2">
        <v>71</v>
      </c>
      <c r="B30" s="3" t="s">
        <v>310</v>
      </c>
      <c r="C30" s="3" t="s">
        <v>311</v>
      </c>
      <c r="D30" s="4">
        <v>151</v>
      </c>
      <c r="E30" s="5">
        <v>135975</v>
      </c>
      <c r="F30" s="5">
        <f>ROUND(E30*0.03,0)</f>
        <v>4079</v>
      </c>
      <c r="G30" s="6">
        <f>F30*D30</f>
        <v>615929</v>
      </c>
      <c r="H30" s="2">
        <v>20</v>
      </c>
      <c r="I30" s="2">
        <v>525</v>
      </c>
      <c r="J30" s="2" t="s">
        <v>20</v>
      </c>
      <c r="K30" s="2" t="s">
        <v>20</v>
      </c>
      <c r="L30" s="2" t="s">
        <v>57</v>
      </c>
      <c r="M30" s="8" t="s">
        <v>312</v>
      </c>
      <c r="N30" s="8" t="s">
        <v>22</v>
      </c>
      <c r="O30" s="3" t="s">
        <v>23</v>
      </c>
      <c r="P30" s="9" t="s">
        <v>313</v>
      </c>
      <c r="Q30" s="10"/>
    </row>
    <row r="31" spans="1:17" ht="25.5" x14ac:dyDescent="0.25">
      <c r="A31" s="11">
        <v>62</v>
      </c>
      <c r="B31" s="12" t="s">
        <v>275</v>
      </c>
      <c r="C31" s="12" t="s">
        <v>276</v>
      </c>
      <c r="D31" s="13">
        <v>18</v>
      </c>
      <c r="E31" s="14">
        <v>1091746</v>
      </c>
      <c r="F31" s="14">
        <f>ROUND(E31*0.03,0)</f>
        <v>32752</v>
      </c>
      <c r="G31" s="6">
        <f>F31*D31</f>
        <v>589536</v>
      </c>
      <c r="H31" s="11">
        <v>25</v>
      </c>
      <c r="I31" s="11">
        <v>823</v>
      </c>
      <c r="J31" s="2" t="s">
        <v>20</v>
      </c>
      <c r="K31" s="11" t="s">
        <v>20</v>
      </c>
      <c r="L31" s="11" t="s">
        <v>145</v>
      </c>
      <c r="M31" s="15" t="s">
        <v>277</v>
      </c>
      <c r="N31" s="15" t="s">
        <v>22</v>
      </c>
      <c r="O31" s="12" t="s">
        <v>23</v>
      </c>
      <c r="P31" s="9" t="s">
        <v>278</v>
      </c>
      <c r="Q31" s="10"/>
    </row>
    <row r="32" spans="1:17" x14ac:dyDescent="0.25">
      <c r="A32" s="2">
        <v>29</v>
      </c>
      <c r="B32" s="3" t="s">
        <v>144</v>
      </c>
      <c r="C32" s="3" t="s">
        <v>144</v>
      </c>
      <c r="D32" s="4">
        <v>43</v>
      </c>
      <c r="E32" s="5">
        <v>434124</v>
      </c>
      <c r="F32" s="5">
        <f>ROUND(E32*0.03,0)</f>
        <v>13024</v>
      </c>
      <c r="G32" s="6">
        <f>F32*D32</f>
        <v>560032</v>
      </c>
      <c r="H32" s="2">
        <v>16</v>
      </c>
      <c r="I32" s="2">
        <v>568</v>
      </c>
      <c r="J32" s="7" t="s">
        <v>19</v>
      </c>
      <c r="K32" s="2" t="s">
        <v>20</v>
      </c>
      <c r="L32" s="2" t="s">
        <v>145</v>
      </c>
      <c r="M32" s="8" t="s">
        <v>146</v>
      </c>
      <c r="N32" s="8" t="s">
        <v>22</v>
      </c>
      <c r="O32" s="3" t="s">
        <v>23</v>
      </c>
      <c r="P32" s="9" t="s">
        <v>147</v>
      </c>
      <c r="Q32" s="10"/>
    </row>
    <row r="33" spans="1:17" x14ac:dyDescent="0.25">
      <c r="A33" s="2">
        <v>5</v>
      </c>
      <c r="B33" s="3" t="s">
        <v>40</v>
      </c>
      <c r="C33" s="3" t="s">
        <v>41</v>
      </c>
      <c r="D33" s="4">
        <v>269</v>
      </c>
      <c r="E33" s="5">
        <v>48802</v>
      </c>
      <c r="F33" s="5">
        <f>ROUND(E33*0.03,0)</f>
        <v>1464</v>
      </c>
      <c r="G33" s="6">
        <f>F33*D33</f>
        <v>393816</v>
      </c>
      <c r="H33" s="2">
        <v>21</v>
      </c>
      <c r="I33" s="2">
        <v>1493</v>
      </c>
      <c r="J33" s="7" t="s">
        <v>19</v>
      </c>
      <c r="K33" s="16" t="s">
        <v>19</v>
      </c>
      <c r="L33" s="2" t="s">
        <v>42</v>
      </c>
      <c r="M33" s="8" t="s">
        <v>43</v>
      </c>
      <c r="N33" s="8" t="s">
        <v>22</v>
      </c>
      <c r="O33" s="3" t="s">
        <v>23</v>
      </c>
      <c r="P33" s="9" t="s">
        <v>44</v>
      </c>
      <c r="Q33" s="10"/>
    </row>
    <row r="34" spans="1:17" x14ac:dyDescent="0.25">
      <c r="A34" s="2">
        <v>61</v>
      </c>
      <c r="B34" s="3" t="s">
        <v>270</v>
      </c>
      <c r="C34" s="3" t="s">
        <v>271</v>
      </c>
      <c r="D34" s="4">
        <v>247</v>
      </c>
      <c r="E34" s="5">
        <v>48385</v>
      </c>
      <c r="F34" s="5">
        <f>ROUND(E34*0.03,0)</f>
        <v>1452</v>
      </c>
      <c r="G34" s="6">
        <f>F34*D34</f>
        <v>358644</v>
      </c>
      <c r="H34" s="2">
        <v>16</v>
      </c>
      <c r="I34" s="2">
        <v>825</v>
      </c>
      <c r="J34" s="2" t="s">
        <v>20</v>
      </c>
      <c r="K34" s="2" t="s">
        <v>20</v>
      </c>
      <c r="L34" s="2" t="s">
        <v>272</v>
      </c>
      <c r="M34" s="8" t="s">
        <v>273</v>
      </c>
      <c r="N34" s="8" t="s">
        <v>22</v>
      </c>
      <c r="O34" s="3" t="s">
        <v>23</v>
      </c>
      <c r="P34" s="9" t="s">
        <v>274</v>
      </c>
      <c r="Q34" s="10"/>
    </row>
    <row r="35" spans="1:17" x14ac:dyDescent="0.25">
      <c r="A35" s="2">
        <v>13</v>
      </c>
      <c r="B35" s="3" t="s">
        <v>78</v>
      </c>
      <c r="C35" s="3" t="s">
        <v>79</v>
      </c>
      <c r="D35" s="4">
        <v>50</v>
      </c>
      <c r="E35" s="5">
        <v>181392</v>
      </c>
      <c r="F35" s="5">
        <f>ROUND(E35*0.03,0)</f>
        <v>5442</v>
      </c>
      <c r="G35" s="6">
        <f>F35*D35</f>
        <v>272100</v>
      </c>
      <c r="H35" s="2">
        <v>7</v>
      </c>
      <c r="I35" s="2">
        <v>800</v>
      </c>
      <c r="J35" s="7" t="s">
        <v>19</v>
      </c>
      <c r="K35" s="2" t="s">
        <v>20</v>
      </c>
      <c r="L35" s="2" t="s">
        <v>80</v>
      </c>
      <c r="M35" s="8" t="s">
        <v>81</v>
      </c>
      <c r="N35" s="8" t="s">
        <v>22</v>
      </c>
      <c r="O35" s="3" t="s">
        <v>23</v>
      </c>
      <c r="P35" s="9" t="s">
        <v>82</v>
      </c>
      <c r="Q35" s="10"/>
    </row>
    <row r="36" spans="1:17" ht="25.5" x14ac:dyDescent="0.25">
      <c r="A36" s="2">
        <v>9</v>
      </c>
      <c r="B36" s="3" t="s">
        <v>61</v>
      </c>
      <c r="C36" s="3" t="s">
        <v>62</v>
      </c>
      <c r="D36" s="4">
        <v>20</v>
      </c>
      <c r="E36" s="5">
        <v>453385</v>
      </c>
      <c r="F36" s="5">
        <f>ROUND(E36*0.03,0)</f>
        <v>13602</v>
      </c>
      <c r="G36" s="6">
        <f>F36*D36</f>
        <v>272040</v>
      </c>
      <c r="H36" s="2">
        <v>19</v>
      </c>
      <c r="I36" s="2">
        <v>1190</v>
      </c>
      <c r="J36" s="7" t="s">
        <v>19</v>
      </c>
      <c r="K36" s="2" t="s">
        <v>20</v>
      </c>
      <c r="L36" s="2" t="s">
        <v>63</v>
      </c>
      <c r="M36" s="8" t="s">
        <v>64</v>
      </c>
      <c r="N36" s="8" t="s">
        <v>58</v>
      </c>
      <c r="O36" s="3" t="s">
        <v>59</v>
      </c>
      <c r="P36" s="9" t="s">
        <v>65</v>
      </c>
      <c r="Q36" s="10"/>
    </row>
    <row r="37" spans="1:17" x14ac:dyDescent="0.25">
      <c r="A37" s="2">
        <v>33</v>
      </c>
      <c r="B37" s="3" t="s">
        <v>160</v>
      </c>
      <c r="C37" s="3" t="s">
        <v>161</v>
      </c>
      <c r="D37" s="4">
        <v>120</v>
      </c>
      <c r="E37" s="5">
        <v>70234</v>
      </c>
      <c r="F37" s="5">
        <f>ROUND(E37*0.03,0)</f>
        <v>2107</v>
      </c>
      <c r="G37" s="6">
        <f>F37*D37</f>
        <v>252840</v>
      </c>
      <c r="H37" s="2">
        <v>14</v>
      </c>
      <c r="I37" s="2">
        <v>533</v>
      </c>
      <c r="J37" s="7" t="s">
        <v>19</v>
      </c>
      <c r="K37" s="2" t="s">
        <v>20</v>
      </c>
      <c r="L37" s="2" t="s">
        <v>162</v>
      </c>
      <c r="M37" s="8" t="s">
        <v>29</v>
      </c>
      <c r="N37" s="8" t="s">
        <v>22</v>
      </c>
      <c r="O37" s="3" t="s">
        <v>23</v>
      </c>
      <c r="P37" s="9" t="s">
        <v>163</v>
      </c>
      <c r="Q37" s="10"/>
    </row>
    <row r="38" spans="1:17" x14ac:dyDescent="0.25">
      <c r="A38" s="11">
        <v>30</v>
      </c>
      <c r="B38" s="12" t="s">
        <v>148</v>
      </c>
      <c r="C38" s="12" t="s">
        <v>149</v>
      </c>
      <c r="D38" s="13">
        <v>12</v>
      </c>
      <c r="E38" s="14">
        <v>693279</v>
      </c>
      <c r="F38" s="14">
        <f>ROUND(E38*0.03,0)</f>
        <v>20798</v>
      </c>
      <c r="G38" s="6">
        <f>F38*D38</f>
        <v>249576</v>
      </c>
      <c r="H38" s="11">
        <v>15</v>
      </c>
      <c r="I38" s="11">
        <v>555</v>
      </c>
      <c r="J38" s="7" t="s">
        <v>19</v>
      </c>
      <c r="K38" s="11" t="s">
        <v>20</v>
      </c>
      <c r="L38" s="11" t="s">
        <v>47</v>
      </c>
      <c r="M38" s="15" t="s">
        <v>150</v>
      </c>
      <c r="N38" s="15" t="s">
        <v>22</v>
      </c>
      <c r="O38" s="12" t="s">
        <v>23</v>
      </c>
      <c r="P38" s="9" t="s">
        <v>151</v>
      </c>
      <c r="Q38" s="10"/>
    </row>
    <row r="39" spans="1:17" ht="25.5" x14ac:dyDescent="0.25">
      <c r="A39" s="2">
        <v>7</v>
      </c>
      <c r="B39" s="3" t="s">
        <v>50</v>
      </c>
      <c r="C39" s="3" t="s">
        <v>51</v>
      </c>
      <c r="D39" s="4">
        <v>139</v>
      </c>
      <c r="E39" s="5">
        <v>57771</v>
      </c>
      <c r="F39" s="5">
        <f>ROUND(E39*0.03,0)</f>
        <v>1733</v>
      </c>
      <c r="G39" s="6">
        <f>F39*D39</f>
        <v>240887</v>
      </c>
      <c r="H39" s="2">
        <v>6</v>
      </c>
      <c r="I39" s="2">
        <v>1307</v>
      </c>
      <c r="J39" s="7" t="s">
        <v>19</v>
      </c>
      <c r="K39" s="2" t="s">
        <v>20</v>
      </c>
      <c r="L39" s="2" t="s">
        <v>52</v>
      </c>
      <c r="M39" s="8" t="s">
        <v>53</v>
      </c>
      <c r="N39" s="8" t="s">
        <v>22</v>
      </c>
      <c r="O39" s="3" t="s">
        <v>23</v>
      </c>
      <c r="P39" s="9" t="s">
        <v>54</v>
      </c>
      <c r="Q39" s="10"/>
    </row>
    <row r="40" spans="1:17" ht="25.5" x14ac:dyDescent="0.25">
      <c r="A40" s="2">
        <v>1</v>
      </c>
      <c r="B40" s="3" t="s">
        <v>17</v>
      </c>
      <c r="C40" s="3" t="s">
        <v>18</v>
      </c>
      <c r="D40" s="4">
        <v>27</v>
      </c>
      <c r="E40" s="5">
        <v>275189</v>
      </c>
      <c r="F40" s="5">
        <f>ROUND(E40*0.03,0)</f>
        <v>8256</v>
      </c>
      <c r="G40" s="6">
        <f>F40*D40</f>
        <v>222912</v>
      </c>
      <c r="H40" s="2">
        <v>3</v>
      </c>
      <c r="I40" s="2">
        <v>5040</v>
      </c>
      <c r="J40" s="7" t="s">
        <v>19</v>
      </c>
      <c r="K40" s="2" t="s">
        <v>20</v>
      </c>
      <c r="L40" s="2" t="s">
        <v>21</v>
      </c>
      <c r="M40" s="8"/>
      <c r="N40" s="8" t="s">
        <v>22</v>
      </c>
      <c r="O40" s="3" t="s">
        <v>23</v>
      </c>
      <c r="P40" s="9" t="s">
        <v>24</v>
      </c>
      <c r="Q40" s="10"/>
    </row>
    <row r="41" spans="1:17" x14ac:dyDescent="0.25">
      <c r="A41" s="2">
        <v>67</v>
      </c>
      <c r="B41" s="3" t="s">
        <v>297</v>
      </c>
      <c r="C41" s="3" t="s">
        <v>298</v>
      </c>
      <c r="D41" s="4">
        <v>80</v>
      </c>
      <c r="E41" s="5">
        <v>90935</v>
      </c>
      <c r="F41" s="5">
        <f>ROUND(E41*0.03,0)</f>
        <v>2728</v>
      </c>
      <c r="G41" s="6">
        <f>F41*D41</f>
        <v>218240</v>
      </c>
      <c r="H41" s="2">
        <v>15</v>
      </c>
      <c r="I41" s="2">
        <v>635</v>
      </c>
      <c r="J41" s="2" t="s">
        <v>20</v>
      </c>
      <c r="K41" s="2" t="s">
        <v>20</v>
      </c>
      <c r="L41" s="2" t="s">
        <v>89</v>
      </c>
      <c r="M41" s="8" t="s">
        <v>295</v>
      </c>
      <c r="N41" s="8" t="s">
        <v>22</v>
      </c>
      <c r="O41" s="3" t="s">
        <v>23</v>
      </c>
      <c r="P41" s="9" t="s">
        <v>299</v>
      </c>
      <c r="Q41" s="10"/>
    </row>
    <row r="42" spans="1:17" x14ac:dyDescent="0.25">
      <c r="A42" s="2">
        <v>19</v>
      </c>
      <c r="B42" s="3" t="s">
        <v>106</v>
      </c>
      <c r="C42" s="3" t="s">
        <v>107</v>
      </c>
      <c r="D42" s="4">
        <v>59</v>
      </c>
      <c r="E42" s="5">
        <v>113897</v>
      </c>
      <c r="F42" s="5">
        <f>ROUND(E42*0.03,0)</f>
        <v>3417</v>
      </c>
      <c r="G42" s="6">
        <f>F42*D42</f>
        <v>201603</v>
      </c>
      <c r="H42" s="2">
        <v>24</v>
      </c>
      <c r="I42" s="2">
        <v>658</v>
      </c>
      <c r="J42" s="7" t="s">
        <v>19</v>
      </c>
      <c r="K42" s="2" t="s">
        <v>20</v>
      </c>
      <c r="L42" s="2" t="s">
        <v>108</v>
      </c>
      <c r="M42" s="8" t="s">
        <v>109</v>
      </c>
      <c r="N42" s="8" t="s">
        <v>22</v>
      </c>
      <c r="O42" s="3" t="s">
        <v>23</v>
      </c>
      <c r="P42" s="9" t="s">
        <v>110</v>
      </c>
      <c r="Q42" s="10"/>
    </row>
    <row r="43" spans="1:17" x14ac:dyDescent="0.25">
      <c r="A43" s="11">
        <v>76</v>
      </c>
      <c r="B43" s="12" t="s">
        <v>327</v>
      </c>
      <c r="C43" s="12" t="s">
        <v>328</v>
      </c>
      <c r="D43" s="13">
        <v>50</v>
      </c>
      <c r="E43" s="14">
        <v>129642</v>
      </c>
      <c r="F43" s="14">
        <f>ROUND(E43*0.03,0)</f>
        <v>3889</v>
      </c>
      <c r="G43" s="6">
        <f>F43*D43</f>
        <v>194450</v>
      </c>
      <c r="H43" s="11">
        <v>13</v>
      </c>
      <c r="I43" s="11">
        <v>407</v>
      </c>
      <c r="J43" s="2" t="s">
        <v>20</v>
      </c>
      <c r="K43" s="17" t="s">
        <v>19</v>
      </c>
      <c r="L43" s="11" t="s">
        <v>329</v>
      </c>
      <c r="M43" s="15" t="s">
        <v>330</v>
      </c>
      <c r="N43" s="15" t="s">
        <v>22</v>
      </c>
      <c r="O43" s="12" t="s">
        <v>23</v>
      </c>
      <c r="P43" s="9" t="s">
        <v>331</v>
      </c>
      <c r="Q43" s="10"/>
    </row>
    <row r="44" spans="1:17" x14ac:dyDescent="0.25">
      <c r="A44" s="2">
        <v>43</v>
      </c>
      <c r="B44" s="3" t="s">
        <v>196</v>
      </c>
      <c r="C44" s="3" t="s">
        <v>197</v>
      </c>
      <c r="D44" s="4">
        <v>249</v>
      </c>
      <c r="E44" s="5">
        <v>17614</v>
      </c>
      <c r="F44" s="5">
        <f>ROUND(E44*0.03,0)</f>
        <v>528</v>
      </c>
      <c r="G44" s="6">
        <f>F44*D44</f>
        <v>131472</v>
      </c>
      <c r="H44" s="2">
        <v>10</v>
      </c>
      <c r="I44" s="2">
        <v>400</v>
      </c>
      <c r="J44" s="7" t="s">
        <v>19</v>
      </c>
      <c r="K44" s="2" t="s">
        <v>20</v>
      </c>
      <c r="L44" s="2" t="s">
        <v>198</v>
      </c>
      <c r="M44" s="8" t="s">
        <v>72</v>
      </c>
      <c r="N44" s="8" t="s">
        <v>22</v>
      </c>
      <c r="O44" s="3" t="s">
        <v>23</v>
      </c>
      <c r="P44" s="9" t="s">
        <v>199</v>
      </c>
      <c r="Q44" s="10"/>
    </row>
    <row r="45" spans="1:17" x14ac:dyDescent="0.25">
      <c r="A45" s="2">
        <v>47</v>
      </c>
      <c r="B45" s="3" t="s">
        <v>213</v>
      </c>
      <c r="C45" s="3" t="s">
        <v>214</v>
      </c>
      <c r="D45" s="4">
        <v>43</v>
      </c>
      <c r="E45" s="5">
        <v>92135</v>
      </c>
      <c r="F45" s="5">
        <f>ROUND(E45*0.03,0)</f>
        <v>2764</v>
      </c>
      <c r="G45" s="6">
        <f>F45*D45</f>
        <v>118852</v>
      </c>
      <c r="H45" s="2">
        <v>4</v>
      </c>
      <c r="I45" s="2">
        <v>347</v>
      </c>
      <c r="J45" s="7" t="s">
        <v>19</v>
      </c>
      <c r="K45" s="16" t="s">
        <v>19</v>
      </c>
      <c r="L45" s="2" t="s">
        <v>28</v>
      </c>
      <c r="M45" s="8" t="s">
        <v>215</v>
      </c>
      <c r="N45" s="8" t="s">
        <v>22</v>
      </c>
      <c r="O45" s="3" t="s">
        <v>23</v>
      </c>
      <c r="P45" s="9" t="s">
        <v>216</v>
      </c>
      <c r="Q45" s="10"/>
    </row>
    <row r="46" spans="1:17" x14ac:dyDescent="0.25">
      <c r="A46" s="11">
        <v>22</v>
      </c>
      <c r="B46" s="12" t="s">
        <v>118</v>
      </c>
      <c r="C46" s="12" t="s">
        <v>119</v>
      </c>
      <c r="D46" s="13">
        <v>259</v>
      </c>
      <c r="E46" s="14">
        <v>14411</v>
      </c>
      <c r="F46" s="14">
        <f>ROUND(E46*0.03,0)</f>
        <v>432</v>
      </c>
      <c r="G46" s="6">
        <f>F46*D46</f>
        <v>111888</v>
      </c>
      <c r="H46" s="11">
        <v>12</v>
      </c>
      <c r="I46" s="11">
        <v>622</v>
      </c>
      <c r="J46" s="7" t="s">
        <v>19</v>
      </c>
      <c r="K46" s="11" t="s">
        <v>20</v>
      </c>
      <c r="L46" s="11" t="s">
        <v>120</v>
      </c>
      <c r="M46" s="15" t="s">
        <v>121</v>
      </c>
      <c r="N46" s="15" t="s">
        <v>22</v>
      </c>
      <c r="O46" s="12" t="s">
        <v>23</v>
      </c>
      <c r="P46" s="9" t="s">
        <v>122</v>
      </c>
      <c r="Q46" s="10"/>
    </row>
    <row r="47" spans="1:17" ht="25.5" x14ac:dyDescent="0.25">
      <c r="A47" s="2">
        <v>31</v>
      </c>
      <c r="B47" s="3" t="s">
        <v>152</v>
      </c>
      <c r="C47" s="3" t="s">
        <v>153</v>
      </c>
      <c r="D47" s="4">
        <v>55</v>
      </c>
      <c r="E47" s="5">
        <v>65536</v>
      </c>
      <c r="F47" s="5">
        <f>ROUND(E47*0.03,0)</f>
        <v>1966</v>
      </c>
      <c r="G47" s="6">
        <f>F47*D47</f>
        <v>108130</v>
      </c>
      <c r="H47" s="2">
        <v>10</v>
      </c>
      <c r="I47" s="2">
        <v>548</v>
      </c>
      <c r="J47" s="7" t="s">
        <v>19</v>
      </c>
      <c r="K47" s="2" t="s">
        <v>20</v>
      </c>
      <c r="L47" s="2" t="s">
        <v>52</v>
      </c>
      <c r="M47" s="8" t="s">
        <v>154</v>
      </c>
      <c r="N47" s="8" t="s">
        <v>22</v>
      </c>
      <c r="O47" s="3" t="s">
        <v>23</v>
      </c>
      <c r="P47" s="9" t="s">
        <v>155</v>
      </c>
      <c r="Q47" s="10"/>
    </row>
    <row r="48" spans="1:17" x14ac:dyDescent="0.25">
      <c r="A48" s="2">
        <v>17</v>
      </c>
      <c r="B48" s="3" t="s">
        <v>97</v>
      </c>
      <c r="C48" s="3" t="s">
        <v>98</v>
      </c>
      <c r="D48" s="4">
        <v>50</v>
      </c>
      <c r="E48" s="5">
        <v>70325</v>
      </c>
      <c r="F48" s="5">
        <f>ROUND(E48*0.03,0)</f>
        <v>2110</v>
      </c>
      <c r="G48" s="6">
        <f>F48*D48</f>
        <v>105500</v>
      </c>
      <c r="H48" s="2">
        <v>17</v>
      </c>
      <c r="I48" s="2">
        <v>670</v>
      </c>
      <c r="J48" s="7" t="s">
        <v>19</v>
      </c>
      <c r="K48" s="2" t="s">
        <v>20</v>
      </c>
      <c r="L48" s="2" t="s">
        <v>99</v>
      </c>
      <c r="M48" s="8" t="s">
        <v>100</v>
      </c>
      <c r="N48" s="8" t="s">
        <v>22</v>
      </c>
      <c r="O48" s="3" t="s">
        <v>23</v>
      </c>
      <c r="P48" s="9" t="s">
        <v>101</v>
      </c>
      <c r="Q48" s="10"/>
    </row>
    <row r="49" spans="1:17" x14ac:dyDescent="0.25">
      <c r="A49" s="11">
        <v>48</v>
      </c>
      <c r="B49" s="12" t="s">
        <v>217</v>
      </c>
      <c r="C49" s="12" t="s">
        <v>218</v>
      </c>
      <c r="D49" s="13">
        <v>1</v>
      </c>
      <c r="E49" s="14">
        <v>2997448</v>
      </c>
      <c r="F49" s="14">
        <f>ROUND(E49*0.03,0)</f>
        <v>89923</v>
      </c>
      <c r="G49" s="6">
        <f>F49*D49</f>
        <v>89923</v>
      </c>
      <c r="H49" s="11">
        <v>1</v>
      </c>
      <c r="I49" s="11">
        <v>2447</v>
      </c>
      <c r="J49" s="2" t="s">
        <v>20</v>
      </c>
      <c r="K49" s="11" t="s">
        <v>20</v>
      </c>
      <c r="L49" s="11" t="s">
        <v>219</v>
      </c>
      <c r="M49" s="15" t="s">
        <v>220</v>
      </c>
      <c r="N49" s="15" t="s">
        <v>22</v>
      </c>
      <c r="O49" s="12" t="s">
        <v>23</v>
      </c>
      <c r="P49" s="9" t="s">
        <v>221</v>
      </c>
      <c r="Q49" s="10"/>
    </row>
    <row r="50" spans="1:17" x14ac:dyDescent="0.25">
      <c r="A50" s="2">
        <v>41</v>
      </c>
      <c r="B50" s="3" t="s">
        <v>190</v>
      </c>
      <c r="C50" s="3" t="s">
        <v>191</v>
      </c>
      <c r="D50" s="4">
        <v>150</v>
      </c>
      <c r="E50" s="5">
        <v>17964</v>
      </c>
      <c r="F50" s="5">
        <f>ROUND(E50*0.03,0)</f>
        <v>539</v>
      </c>
      <c r="G50" s="6">
        <f>F50*D50</f>
        <v>80850</v>
      </c>
      <c r="H50" s="2">
        <v>9</v>
      </c>
      <c r="I50" s="2">
        <v>424</v>
      </c>
      <c r="J50" s="7" t="s">
        <v>19</v>
      </c>
      <c r="K50" s="2" t="s">
        <v>20</v>
      </c>
      <c r="L50" s="2" t="s">
        <v>158</v>
      </c>
      <c r="M50" s="8"/>
      <c r="N50" s="8" t="s">
        <v>22</v>
      </c>
      <c r="O50" s="3" t="s">
        <v>23</v>
      </c>
      <c r="P50" s="9" t="s">
        <v>192</v>
      </c>
      <c r="Q50" s="10"/>
    </row>
    <row r="51" spans="1:17" x14ac:dyDescent="0.25">
      <c r="A51" s="2">
        <v>63</v>
      </c>
      <c r="B51" s="3" t="s">
        <v>279</v>
      </c>
      <c r="C51" s="3" t="s">
        <v>280</v>
      </c>
      <c r="D51" s="4">
        <v>51</v>
      </c>
      <c r="E51" s="5">
        <v>52497</v>
      </c>
      <c r="F51" s="5">
        <f>ROUND(E51*0.03,0)</f>
        <v>1575</v>
      </c>
      <c r="G51" s="6">
        <f>F51*D51</f>
        <v>80325</v>
      </c>
      <c r="H51" s="2">
        <v>24</v>
      </c>
      <c r="I51" s="2">
        <v>796</v>
      </c>
      <c r="J51" s="2" t="s">
        <v>20</v>
      </c>
      <c r="K51" s="2" t="s">
        <v>20</v>
      </c>
      <c r="L51" s="2" t="s">
        <v>281</v>
      </c>
      <c r="M51" s="8" t="s">
        <v>282</v>
      </c>
      <c r="N51" s="8" t="s">
        <v>22</v>
      </c>
      <c r="O51" s="3" t="s">
        <v>23</v>
      </c>
      <c r="P51" s="9" t="s">
        <v>283</v>
      </c>
      <c r="Q51" s="10"/>
    </row>
    <row r="52" spans="1:17" ht="25.5" x14ac:dyDescent="0.25">
      <c r="A52" s="11">
        <v>46</v>
      </c>
      <c r="B52" s="12" t="s">
        <v>208</v>
      </c>
      <c r="C52" s="12" t="s">
        <v>209</v>
      </c>
      <c r="D52" s="13">
        <v>80</v>
      </c>
      <c r="E52" s="14">
        <v>28084</v>
      </c>
      <c r="F52" s="14">
        <f>ROUND(E52*0.03,0)</f>
        <v>843</v>
      </c>
      <c r="G52" s="6">
        <f>F52*D52</f>
        <v>67440</v>
      </c>
      <c r="H52" s="11">
        <v>17</v>
      </c>
      <c r="I52" s="11">
        <v>354</v>
      </c>
      <c r="J52" s="7" t="s">
        <v>19</v>
      </c>
      <c r="K52" s="11" t="s">
        <v>20</v>
      </c>
      <c r="L52" s="11" t="s">
        <v>210</v>
      </c>
      <c r="M52" s="15" t="s">
        <v>211</v>
      </c>
      <c r="N52" s="15" t="s">
        <v>22</v>
      </c>
      <c r="O52" s="12" t="s">
        <v>23</v>
      </c>
      <c r="P52" s="9" t="s">
        <v>212</v>
      </c>
      <c r="Q52" s="10"/>
    </row>
    <row r="53" spans="1:17" x14ac:dyDescent="0.25">
      <c r="A53" s="11">
        <v>44</v>
      </c>
      <c r="B53" s="12" t="s">
        <v>200</v>
      </c>
      <c r="C53" s="12" t="s">
        <v>201</v>
      </c>
      <c r="D53" s="13">
        <v>29</v>
      </c>
      <c r="E53" s="14">
        <v>75750</v>
      </c>
      <c r="F53" s="14">
        <f>ROUND(E53*0.03,0)</f>
        <v>2273</v>
      </c>
      <c r="G53" s="6">
        <f>F53*D53</f>
        <v>65917</v>
      </c>
      <c r="H53" s="11">
        <v>19</v>
      </c>
      <c r="I53" s="11">
        <v>395</v>
      </c>
      <c r="J53" s="7" t="s">
        <v>19</v>
      </c>
      <c r="K53" s="11" t="s">
        <v>20</v>
      </c>
      <c r="L53" s="11" t="s">
        <v>202</v>
      </c>
      <c r="M53" s="15" t="s">
        <v>203</v>
      </c>
      <c r="N53" s="15" t="s">
        <v>22</v>
      </c>
      <c r="O53" s="12" t="s">
        <v>23</v>
      </c>
      <c r="P53" s="9" t="s">
        <v>204</v>
      </c>
      <c r="Q53" s="10"/>
    </row>
    <row r="54" spans="1:17" x14ac:dyDescent="0.25">
      <c r="A54" s="11">
        <v>52</v>
      </c>
      <c r="B54" s="12" t="s">
        <v>235</v>
      </c>
      <c r="C54" s="12" t="s">
        <v>236</v>
      </c>
      <c r="D54" s="13">
        <v>55</v>
      </c>
      <c r="E54" s="14">
        <v>37655</v>
      </c>
      <c r="F54" s="14">
        <f>ROUND(E54*0.03,0)</f>
        <v>1130</v>
      </c>
      <c r="G54" s="6">
        <f>F54*D54</f>
        <v>62150</v>
      </c>
      <c r="H54" s="11">
        <v>11</v>
      </c>
      <c r="I54" s="11">
        <v>1017</v>
      </c>
      <c r="J54" s="2" t="s">
        <v>20</v>
      </c>
      <c r="K54" s="11" t="s">
        <v>20</v>
      </c>
      <c r="L54" s="11" t="s">
        <v>103</v>
      </c>
      <c r="M54" s="15" t="s">
        <v>53</v>
      </c>
      <c r="N54" s="15" t="s">
        <v>22</v>
      </c>
      <c r="O54" s="12" t="s">
        <v>23</v>
      </c>
      <c r="P54" s="9" t="s">
        <v>237</v>
      </c>
      <c r="Q54" s="10"/>
    </row>
    <row r="55" spans="1:17" ht="38.25" x14ac:dyDescent="0.25">
      <c r="A55" s="2">
        <v>73</v>
      </c>
      <c r="B55" s="3" t="s">
        <v>317</v>
      </c>
      <c r="C55" s="3" t="s">
        <v>318</v>
      </c>
      <c r="D55" s="4">
        <v>39</v>
      </c>
      <c r="E55" s="5">
        <v>49622</v>
      </c>
      <c r="F55" s="5">
        <f>ROUND(E55*0.03,0)</f>
        <v>1489</v>
      </c>
      <c r="G55" s="6">
        <f>F55*D55</f>
        <v>58071</v>
      </c>
      <c r="H55" s="2">
        <v>16</v>
      </c>
      <c r="I55" s="2">
        <v>505</v>
      </c>
      <c r="J55" s="2" t="s">
        <v>20</v>
      </c>
      <c r="K55" s="2" t="s">
        <v>20</v>
      </c>
      <c r="L55" s="2" t="s">
        <v>272</v>
      </c>
      <c r="M55" s="8" t="s">
        <v>72</v>
      </c>
      <c r="N55" s="8" t="s">
        <v>22</v>
      </c>
      <c r="O55" s="3" t="s">
        <v>23</v>
      </c>
      <c r="P55" s="9" t="s">
        <v>319</v>
      </c>
      <c r="Q55" s="10"/>
    </row>
    <row r="56" spans="1:17" x14ac:dyDescent="0.25">
      <c r="A56" s="11">
        <v>66</v>
      </c>
      <c r="B56" s="12" t="s">
        <v>292</v>
      </c>
      <c r="C56" s="12" t="s">
        <v>293</v>
      </c>
      <c r="D56" s="13">
        <v>18</v>
      </c>
      <c r="E56" s="14">
        <v>99219</v>
      </c>
      <c r="F56" s="14">
        <f>ROUND(E56*0.03,0)</f>
        <v>2977</v>
      </c>
      <c r="G56" s="6">
        <f>F56*D56</f>
        <v>53586</v>
      </c>
      <c r="H56" s="11">
        <v>18</v>
      </c>
      <c r="I56" s="11">
        <v>646</v>
      </c>
      <c r="J56" s="2" t="s">
        <v>20</v>
      </c>
      <c r="K56" s="11" t="s">
        <v>20</v>
      </c>
      <c r="L56" s="11" t="s">
        <v>294</v>
      </c>
      <c r="M56" s="15" t="s">
        <v>295</v>
      </c>
      <c r="N56" s="15" t="s">
        <v>22</v>
      </c>
      <c r="O56" s="12" t="s">
        <v>23</v>
      </c>
      <c r="P56" s="9" t="s">
        <v>296</v>
      </c>
      <c r="Q56" s="10"/>
    </row>
    <row r="57" spans="1:17" x14ac:dyDescent="0.25">
      <c r="A57" s="11">
        <v>6</v>
      </c>
      <c r="B57" s="12" t="s">
        <v>45</v>
      </c>
      <c r="C57" s="12" t="s">
        <v>46</v>
      </c>
      <c r="D57" s="13">
        <v>95</v>
      </c>
      <c r="E57" s="14">
        <v>18729</v>
      </c>
      <c r="F57" s="14">
        <f>ROUND(E57*0.03,0)</f>
        <v>562</v>
      </c>
      <c r="G57" s="6">
        <f>F57*D57</f>
        <v>53390</v>
      </c>
      <c r="H57" s="11">
        <v>12</v>
      </c>
      <c r="I57" s="11">
        <v>1308</v>
      </c>
      <c r="J57" s="7" t="s">
        <v>19</v>
      </c>
      <c r="K57" s="11" t="s">
        <v>20</v>
      </c>
      <c r="L57" s="11" t="s">
        <v>47</v>
      </c>
      <c r="M57" s="15" t="s">
        <v>48</v>
      </c>
      <c r="N57" s="15" t="s">
        <v>22</v>
      </c>
      <c r="O57" s="12" t="s">
        <v>23</v>
      </c>
      <c r="P57" s="9" t="s">
        <v>49</v>
      </c>
      <c r="Q57" s="10"/>
    </row>
    <row r="58" spans="1:17" x14ac:dyDescent="0.25">
      <c r="A58" s="11">
        <v>28</v>
      </c>
      <c r="B58" s="12" t="s">
        <v>140</v>
      </c>
      <c r="C58" s="12" t="s">
        <v>141</v>
      </c>
      <c r="D58" s="13">
        <v>43</v>
      </c>
      <c r="E58" s="14">
        <v>36831</v>
      </c>
      <c r="F58" s="14">
        <f>ROUND(E58*0.03,0)</f>
        <v>1105</v>
      </c>
      <c r="G58" s="6">
        <f>F58*D58</f>
        <v>47515</v>
      </c>
      <c r="H58" s="11">
        <v>23</v>
      </c>
      <c r="I58" s="11">
        <v>594</v>
      </c>
      <c r="J58" s="7" t="s">
        <v>19</v>
      </c>
      <c r="K58" s="11" t="s">
        <v>20</v>
      </c>
      <c r="L58" s="11" t="s">
        <v>57</v>
      </c>
      <c r="M58" s="15" t="s">
        <v>142</v>
      </c>
      <c r="N58" s="15" t="s">
        <v>22</v>
      </c>
      <c r="O58" s="12" t="s">
        <v>23</v>
      </c>
      <c r="P58" s="9" t="s">
        <v>143</v>
      </c>
      <c r="Q58" s="10"/>
    </row>
    <row r="59" spans="1:17" x14ac:dyDescent="0.25">
      <c r="A59" s="2">
        <v>15</v>
      </c>
      <c r="B59" s="3" t="s">
        <v>87</v>
      </c>
      <c r="C59" s="3" t="s">
        <v>88</v>
      </c>
      <c r="D59" s="4">
        <v>86</v>
      </c>
      <c r="E59" s="5">
        <v>14784</v>
      </c>
      <c r="F59" s="5">
        <f>ROUND(E59*0.03,0)</f>
        <v>444</v>
      </c>
      <c r="G59" s="6">
        <f>F59*D59</f>
        <v>38184</v>
      </c>
      <c r="H59" s="2">
        <v>12</v>
      </c>
      <c r="I59" s="2">
        <v>719</v>
      </c>
      <c r="J59" s="7" t="s">
        <v>19</v>
      </c>
      <c r="K59" s="16" t="s">
        <v>19</v>
      </c>
      <c r="L59" s="2" t="s">
        <v>89</v>
      </c>
      <c r="M59" s="8" t="s">
        <v>90</v>
      </c>
      <c r="N59" s="8" t="s">
        <v>22</v>
      </c>
      <c r="O59" s="3" t="s">
        <v>23</v>
      </c>
      <c r="P59" s="9" t="s">
        <v>91</v>
      </c>
      <c r="Q59" s="10"/>
    </row>
    <row r="60" spans="1:17" ht="25.5" x14ac:dyDescent="0.25">
      <c r="A60" s="2">
        <v>65</v>
      </c>
      <c r="B60" s="3" t="s">
        <v>289</v>
      </c>
      <c r="C60" s="3" t="s">
        <v>290</v>
      </c>
      <c r="D60" s="4">
        <v>109</v>
      </c>
      <c r="E60" s="5">
        <v>8899</v>
      </c>
      <c r="F60" s="5">
        <f>ROUND(E60*0.03,0)</f>
        <v>267</v>
      </c>
      <c r="G60" s="6">
        <f>F60*D60</f>
        <v>29103</v>
      </c>
      <c r="H60" s="2">
        <v>17</v>
      </c>
      <c r="I60" s="2">
        <v>734</v>
      </c>
      <c r="J60" s="2" t="s">
        <v>20</v>
      </c>
      <c r="K60" s="2" t="s">
        <v>20</v>
      </c>
      <c r="L60" s="2" t="s">
        <v>240</v>
      </c>
      <c r="M60" s="8" t="s">
        <v>72</v>
      </c>
      <c r="N60" s="8" t="s">
        <v>22</v>
      </c>
      <c r="O60" s="3" t="s">
        <v>23</v>
      </c>
      <c r="P60" s="9" t="s">
        <v>291</v>
      </c>
      <c r="Q60" s="10"/>
    </row>
    <row r="61" spans="1:17" x14ac:dyDescent="0.25">
      <c r="A61" s="11">
        <v>40</v>
      </c>
      <c r="B61" s="12" t="s">
        <v>185</v>
      </c>
      <c r="C61" s="12" t="s">
        <v>186</v>
      </c>
      <c r="D61" s="13">
        <v>30</v>
      </c>
      <c r="E61" s="14">
        <v>30580</v>
      </c>
      <c r="F61" s="14">
        <f>ROUND(E61*0.03,0)</f>
        <v>917</v>
      </c>
      <c r="G61" s="6">
        <f>F61*D61</f>
        <v>27510</v>
      </c>
      <c r="H61" s="11">
        <v>18</v>
      </c>
      <c r="I61" s="11">
        <v>513</v>
      </c>
      <c r="J61" s="7" t="s">
        <v>19</v>
      </c>
      <c r="K61" s="11" t="s">
        <v>20</v>
      </c>
      <c r="L61" s="11" t="s">
        <v>187</v>
      </c>
      <c r="M61" s="15" t="s">
        <v>188</v>
      </c>
      <c r="N61" s="15" t="s">
        <v>22</v>
      </c>
      <c r="O61" s="12" t="s">
        <v>23</v>
      </c>
      <c r="P61" s="9" t="s">
        <v>189</v>
      </c>
      <c r="Q61" s="10"/>
    </row>
    <row r="62" spans="1:17" ht="38.25" x14ac:dyDescent="0.25">
      <c r="A62" s="11">
        <v>70</v>
      </c>
      <c r="B62" s="12" t="s">
        <v>306</v>
      </c>
      <c r="C62" s="12" t="s">
        <v>307</v>
      </c>
      <c r="D62" s="13">
        <v>16</v>
      </c>
      <c r="E62" s="14">
        <v>52851</v>
      </c>
      <c r="F62" s="14">
        <f>ROUND(E62*0.03,0)</f>
        <v>1586</v>
      </c>
      <c r="G62" s="6">
        <f>F62*D62</f>
        <v>25376</v>
      </c>
      <c r="H62" s="11">
        <v>22</v>
      </c>
      <c r="I62" s="11">
        <v>538</v>
      </c>
      <c r="J62" s="2" t="s">
        <v>20</v>
      </c>
      <c r="K62" s="11" t="s">
        <v>20</v>
      </c>
      <c r="L62" s="11" t="s">
        <v>224</v>
      </c>
      <c r="M62" s="15" t="s">
        <v>308</v>
      </c>
      <c r="N62" s="15" t="s">
        <v>22</v>
      </c>
      <c r="O62" s="12" t="s">
        <v>23</v>
      </c>
      <c r="P62" s="9" t="s">
        <v>309</v>
      </c>
      <c r="Q62" s="10"/>
    </row>
    <row r="63" spans="1:17" ht="25.5" x14ac:dyDescent="0.25">
      <c r="A63" s="2">
        <v>69</v>
      </c>
      <c r="B63" s="3" t="s">
        <v>302</v>
      </c>
      <c r="C63" s="3" t="s">
        <v>303</v>
      </c>
      <c r="D63" s="4">
        <v>38</v>
      </c>
      <c r="E63" s="5">
        <v>19046</v>
      </c>
      <c r="F63" s="5">
        <f>ROUND(E63*0.03,0)</f>
        <v>571</v>
      </c>
      <c r="G63" s="6">
        <f>F63*D63</f>
        <v>21698</v>
      </c>
      <c r="H63" s="2">
        <v>7</v>
      </c>
      <c r="I63" s="2">
        <v>595</v>
      </c>
      <c r="J63" s="2" t="s">
        <v>20</v>
      </c>
      <c r="K63" s="16" t="s">
        <v>19</v>
      </c>
      <c r="L63" s="2" t="s">
        <v>286</v>
      </c>
      <c r="M63" s="8" t="s">
        <v>304</v>
      </c>
      <c r="N63" s="8" t="s">
        <v>22</v>
      </c>
      <c r="O63" s="3" t="s">
        <v>23</v>
      </c>
      <c r="P63" s="9" t="s">
        <v>305</v>
      </c>
      <c r="Q63" s="10"/>
    </row>
    <row r="64" spans="1:17" ht="25.5" x14ac:dyDescent="0.25">
      <c r="A64" s="2">
        <v>11</v>
      </c>
      <c r="B64" s="3" t="s">
        <v>70</v>
      </c>
      <c r="C64" s="3" t="s">
        <v>71</v>
      </c>
      <c r="D64" s="4">
        <v>99</v>
      </c>
      <c r="E64" s="5">
        <v>7249</v>
      </c>
      <c r="F64" s="5">
        <f>ROUND(E64*0.03,0)</f>
        <v>217</v>
      </c>
      <c r="G64" s="6">
        <f>F64*D64</f>
        <v>21483</v>
      </c>
      <c r="H64" s="2">
        <v>3</v>
      </c>
      <c r="I64" s="2">
        <v>817</v>
      </c>
      <c r="J64" s="7" t="s">
        <v>19</v>
      </c>
      <c r="K64" s="2" t="s">
        <v>20</v>
      </c>
      <c r="L64" s="2" t="s">
        <v>57</v>
      </c>
      <c r="M64" s="8" t="s">
        <v>72</v>
      </c>
      <c r="N64" s="8" t="s">
        <v>22</v>
      </c>
      <c r="O64" s="3" t="s">
        <v>23</v>
      </c>
      <c r="P64" s="9" t="s">
        <v>73</v>
      </c>
      <c r="Q64" s="10"/>
    </row>
    <row r="65" spans="1:17" x14ac:dyDescent="0.25">
      <c r="A65" s="2">
        <v>27</v>
      </c>
      <c r="B65" s="3" t="s">
        <v>135</v>
      </c>
      <c r="C65" s="3" t="s">
        <v>136</v>
      </c>
      <c r="D65" s="4">
        <v>75</v>
      </c>
      <c r="E65" s="5">
        <v>9023</v>
      </c>
      <c r="F65" s="5">
        <f>ROUND(E65*0.03,0)</f>
        <v>271</v>
      </c>
      <c r="G65" s="6">
        <f>F65*D65</f>
        <v>20325</v>
      </c>
      <c r="H65" s="2">
        <v>5</v>
      </c>
      <c r="I65" s="2">
        <v>595</v>
      </c>
      <c r="J65" s="7" t="s">
        <v>19</v>
      </c>
      <c r="K65" s="2" t="s">
        <v>20</v>
      </c>
      <c r="L65" s="2" t="s">
        <v>137</v>
      </c>
      <c r="M65" s="8" t="s">
        <v>138</v>
      </c>
      <c r="N65" s="8" t="s">
        <v>22</v>
      </c>
      <c r="O65" s="3" t="s">
        <v>23</v>
      </c>
      <c r="P65" s="9" t="s">
        <v>139</v>
      </c>
      <c r="Q65" s="10"/>
    </row>
    <row r="66" spans="1:17" x14ac:dyDescent="0.25">
      <c r="A66" s="11">
        <v>68</v>
      </c>
      <c r="B66" s="12" t="s">
        <v>300</v>
      </c>
      <c r="C66" s="12" t="s">
        <v>298</v>
      </c>
      <c r="D66" s="13">
        <v>108</v>
      </c>
      <c r="E66" s="14">
        <v>4373</v>
      </c>
      <c r="F66" s="14">
        <f>ROUND(E66*0.03,0)</f>
        <v>131</v>
      </c>
      <c r="G66" s="6">
        <f>F66*D66</f>
        <v>14148</v>
      </c>
      <c r="H66" s="11">
        <v>8</v>
      </c>
      <c r="I66" s="11">
        <v>635</v>
      </c>
      <c r="J66" s="2" t="s">
        <v>20</v>
      </c>
      <c r="K66" s="11" t="s">
        <v>20</v>
      </c>
      <c r="L66" s="11" t="s">
        <v>272</v>
      </c>
      <c r="M66" s="15" t="s">
        <v>33</v>
      </c>
      <c r="N66" s="15" t="s">
        <v>22</v>
      </c>
      <c r="O66" s="12" t="s">
        <v>23</v>
      </c>
      <c r="P66" s="9" t="s">
        <v>301</v>
      </c>
      <c r="Q66" s="10"/>
    </row>
    <row r="67" spans="1:17" x14ac:dyDescent="0.25">
      <c r="A67" s="2">
        <v>75</v>
      </c>
      <c r="B67" s="3" t="s">
        <v>323</v>
      </c>
      <c r="C67" s="3" t="s">
        <v>324</v>
      </c>
      <c r="D67" s="4">
        <v>63</v>
      </c>
      <c r="E67" s="5">
        <v>6195</v>
      </c>
      <c r="F67" s="5">
        <f>ROUND(E67*0.03,0)</f>
        <v>186</v>
      </c>
      <c r="G67" s="6">
        <f>F67*D67</f>
        <v>11718</v>
      </c>
      <c r="H67" s="2">
        <v>6</v>
      </c>
      <c r="I67" s="2">
        <v>439</v>
      </c>
      <c r="J67" s="2" t="s">
        <v>20</v>
      </c>
      <c r="K67" s="2" t="s">
        <v>20</v>
      </c>
      <c r="L67" s="2" t="s">
        <v>28</v>
      </c>
      <c r="M67" s="8" t="s">
        <v>325</v>
      </c>
      <c r="N67" s="8" t="s">
        <v>22</v>
      </c>
      <c r="O67" s="3" t="s">
        <v>23</v>
      </c>
      <c r="P67" s="9" t="s">
        <v>326</v>
      </c>
      <c r="Q67" s="10"/>
    </row>
    <row r="68" spans="1:17" x14ac:dyDescent="0.25">
      <c r="A68" s="11">
        <v>64</v>
      </c>
      <c r="B68" s="12" t="s">
        <v>284</v>
      </c>
      <c r="C68" s="12" t="s">
        <v>285</v>
      </c>
      <c r="D68" s="13">
        <v>4</v>
      </c>
      <c r="E68" s="14">
        <v>90544</v>
      </c>
      <c r="F68" s="14">
        <f>ROUND(E68*0.03,0)</f>
        <v>2716</v>
      </c>
      <c r="G68" s="6">
        <f>F68*D68</f>
        <v>10864</v>
      </c>
      <c r="H68" s="11">
        <v>19</v>
      </c>
      <c r="I68" s="11">
        <v>769</v>
      </c>
      <c r="J68" s="2" t="s">
        <v>20</v>
      </c>
      <c r="K68" s="11" t="s">
        <v>20</v>
      </c>
      <c r="L68" s="11" t="s">
        <v>286</v>
      </c>
      <c r="M68" s="15" t="s">
        <v>287</v>
      </c>
      <c r="N68" s="15" t="s">
        <v>22</v>
      </c>
      <c r="O68" s="12" t="s">
        <v>23</v>
      </c>
      <c r="P68" s="9" t="s">
        <v>288</v>
      </c>
      <c r="Q68" s="10"/>
    </row>
    <row r="69" spans="1:17" x14ac:dyDescent="0.25">
      <c r="A69" s="11">
        <v>50</v>
      </c>
      <c r="B69" s="12" t="s">
        <v>226</v>
      </c>
      <c r="C69" s="12" t="s">
        <v>227</v>
      </c>
      <c r="D69" s="13">
        <v>108</v>
      </c>
      <c r="E69" s="14">
        <v>3192</v>
      </c>
      <c r="F69" s="14">
        <f>ROUND(E69*0.03,0)</f>
        <v>96</v>
      </c>
      <c r="G69" s="6">
        <f>F69*D69</f>
        <v>10368</v>
      </c>
      <c r="H69" s="11">
        <v>5</v>
      </c>
      <c r="I69" s="11">
        <v>1213</v>
      </c>
      <c r="J69" s="2" t="s">
        <v>20</v>
      </c>
      <c r="K69" s="17" t="s">
        <v>19</v>
      </c>
      <c r="L69" s="11" t="s">
        <v>228</v>
      </c>
      <c r="M69" s="15" t="s">
        <v>229</v>
      </c>
      <c r="N69" s="15" t="s">
        <v>22</v>
      </c>
      <c r="O69" s="12" t="s">
        <v>23</v>
      </c>
      <c r="P69" s="9" t="s">
        <v>230</v>
      </c>
      <c r="Q69" s="10"/>
    </row>
    <row r="70" spans="1:17" x14ac:dyDescent="0.25">
      <c r="A70" s="11">
        <v>18</v>
      </c>
      <c r="B70" s="12" t="s">
        <v>102</v>
      </c>
      <c r="C70" s="12" t="s">
        <v>98</v>
      </c>
      <c r="D70" s="13">
        <v>53</v>
      </c>
      <c r="E70" s="14">
        <v>5364</v>
      </c>
      <c r="F70" s="14">
        <f>ROUND(E70*0.03,0)</f>
        <v>161</v>
      </c>
      <c r="G70" s="6">
        <f>F70*D70</f>
        <v>8533</v>
      </c>
      <c r="H70" s="11">
        <v>17</v>
      </c>
      <c r="I70" s="11">
        <v>670</v>
      </c>
      <c r="J70" s="7" t="s">
        <v>19</v>
      </c>
      <c r="K70" s="11" t="s">
        <v>20</v>
      </c>
      <c r="L70" s="11" t="s">
        <v>103</v>
      </c>
      <c r="M70" s="15" t="s">
        <v>104</v>
      </c>
      <c r="N70" s="15" t="s">
        <v>22</v>
      </c>
      <c r="O70" s="12" t="s">
        <v>23</v>
      </c>
      <c r="P70" s="9" t="s">
        <v>105</v>
      </c>
      <c r="Q70" s="10"/>
    </row>
    <row r="71" spans="1:17" ht="25.5" x14ac:dyDescent="0.25">
      <c r="A71" s="2">
        <v>3</v>
      </c>
      <c r="B71" s="3" t="s">
        <v>31</v>
      </c>
      <c r="C71" s="3" t="s">
        <v>32</v>
      </c>
      <c r="D71" s="4">
        <v>43</v>
      </c>
      <c r="E71" s="5">
        <v>5733</v>
      </c>
      <c r="F71" s="5">
        <f>ROUND(E71*0.03,0)</f>
        <v>172</v>
      </c>
      <c r="G71" s="6">
        <f>F71*D71</f>
        <v>7396</v>
      </c>
      <c r="H71" s="2">
        <v>4</v>
      </c>
      <c r="I71" s="2">
        <v>3126</v>
      </c>
      <c r="J71" s="7" t="s">
        <v>19</v>
      </c>
      <c r="K71" s="2" t="s">
        <v>20</v>
      </c>
      <c r="L71" s="2" t="s">
        <v>28</v>
      </c>
      <c r="M71" s="8" t="s">
        <v>33</v>
      </c>
      <c r="N71" s="8" t="s">
        <v>22</v>
      </c>
      <c r="O71" s="3" t="s">
        <v>23</v>
      </c>
      <c r="P71" s="9" t="s">
        <v>34</v>
      </c>
      <c r="Q71" s="10"/>
    </row>
    <row r="72" spans="1:17" x14ac:dyDescent="0.25">
      <c r="A72" s="11">
        <v>20</v>
      </c>
      <c r="B72" s="12" t="s">
        <v>111</v>
      </c>
      <c r="C72" s="12" t="s">
        <v>107</v>
      </c>
      <c r="D72" s="13">
        <v>80</v>
      </c>
      <c r="E72" s="14">
        <v>2698</v>
      </c>
      <c r="F72" s="14">
        <f>ROUND(E72*0.03,0)</f>
        <v>81</v>
      </c>
      <c r="G72" s="6">
        <f>F72*D72</f>
        <v>6480</v>
      </c>
      <c r="H72" s="11">
        <v>6</v>
      </c>
      <c r="I72" s="11">
        <v>658</v>
      </c>
      <c r="J72" s="7" t="s">
        <v>19</v>
      </c>
      <c r="K72" s="11" t="s">
        <v>20</v>
      </c>
      <c r="L72" s="11" t="s">
        <v>94</v>
      </c>
      <c r="M72" s="15" t="s">
        <v>112</v>
      </c>
      <c r="N72" s="15" t="s">
        <v>22</v>
      </c>
      <c r="O72" s="12" t="s">
        <v>23</v>
      </c>
      <c r="P72" s="9" t="s">
        <v>113</v>
      </c>
      <c r="Q72" s="10"/>
    </row>
    <row r="73" spans="1:17" ht="38.25" x14ac:dyDescent="0.25">
      <c r="A73" s="2">
        <v>45</v>
      </c>
      <c r="B73" s="3" t="s">
        <v>205</v>
      </c>
      <c r="C73" s="3" t="s">
        <v>206</v>
      </c>
      <c r="D73" s="4">
        <v>32</v>
      </c>
      <c r="E73" s="5">
        <v>5508</v>
      </c>
      <c r="F73" s="5">
        <f>ROUND(E73*0.03,0)</f>
        <v>165</v>
      </c>
      <c r="G73" s="6">
        <f>F73*D73</f>
        <v>5280</v>
      </c>
      <c r="H73" s="2">
        <v>14</v>
      </c>
      <c r="I73" s="2">
        <v>369</v>
      </c>
      <c r="J73" s="7" t="s">
        <v>19</v>
      </c>
      <c r="K73" s="2" t="s">
        <v>20</v>
      </c>
      <c r="L73" s="2" t="s">
        <v>28</v>
      </c>
      <c r="M73" s="8" t="s">
        <v>95</v>
      </c>
      <c r="N73" s="8" t="s">
        <v>22</v>
      </c>
      <c r="O73" s="3" t="s">
        <v>23</v>
      </c>
      <c r="P73" s="9" t="s">
        <v>207</v>
      </c>
      <c r="Q73" s="10"/>
    </row>
    <row r="74" spans="1:17" x14ac:dyDescent="0.25">
      <c r="A74" s="11">
        <v>74</v>
      </c>
      <c r="B74" s="12" t="s">
        <v>320</v>
      </c>
      <c r="C74" s="12" t="s">
        <v>321</v>
      </c>
      <c r="D74" s="13">
        <v>40</v>
      </c>
      <c r="E74" s="14">
        <v>3622</v>
      </c>
      <c r="F74" s="14">
        <f>ROUND(E74*0.03,0)</f>
        <v>109</v>
      </c>
      <c r="G74" s="6">
        <f>F74*D74</f>
        <v>4360</v>
      </c>
      <c r="H74" s="11">
        <v>3</v>
      </c>
      <c r="I74" s="11">
        <v>460</v>
      </c>
      <c r="J74" s="2" t="s">
        <v>20</v>
      </c>
      <c r="K74" s="11" t="s">
        <v>20</v>
      </c>
      <c r="L74" s="11" t="s">
        <v>166</v>
      </c>
      <c r="M74" s="15"/>
      <c r="N74" s="15" t="s">
        <v>22</v>
      </c>
      <c r="O74" s="12" t="s">
        <v>23</v>
      </c>
      <c r="P74" s="9" t="s">
        <v>322</v>
      </c>
      <c r="Q74" s="10"/>
    </row>
    <row r="75" spans="1:17" x14ac:dyDescent="0.25">
      <c r="A75" s="2">
        <v>21</v>
      </c>
      <c r="B75" s="3" t="s">
        <v>114</v>
      </c>
      <c r="C75" s="3" t="s">
        <v>115</v>
      </c>
      <c r="D75" s="4">
        <v>30</v>
      </c>
      <c r="E75" s="5">
        <v>3841</v>
      </c>
      <c r="F75" s="5">
        <f>ROUND(E75*0.03,0)</f>
        <v>115</v>
      </c>
      <c r="G75" s="6">
        <f>F75*D75</f>
        <v>3450</v>
      </c>
      <c r="H75" s="2">
        <v>5</v>
      </c>
      <c r="I75" s="2">
        <v>652</v>
      </c>
      <c r="J75" s="7" t="s">
        <v>19</v>
      </c>
      <c r="K75" s="2" t="s">
        <v>20</v>
      </c>
      <c r="L75" s="2" t="s">
        <v>68</v>
      </c>
      <c r="M75" s="8" t="s">
        <v>116</v>
      </c>
      <c r="N75" s="8" t="s">
        <v>22</v>
      </c>
      <c r="O75" s="3" t="s">
        <v>23</v>
      </c>
      <c r="P75" s="9" t="s">
        <v>117</v>
      </c>
      <c r="Q75" s="10"/>
    </row>
    <row r="76" spans="1:17" x14ac:dyDescent="0.25">
      <c r="A76" s="11">
        <v>58</v>
      </c>
      <c r="B76" s="12" t="s">
        <v>259</v>
      </c>
      <c r="C76" s="12" t="s">
        <v>260</v>
      </c>
      <c r="D76" s="13">
        <v>38</v>
      </c>
      <c r="E76" s="14">
        <v>2863</v>
      </c>
      <c r="F76" s="14">
        <f>ROUND(E76*0.03,0)</f>
        <v>86</v>
      </c>
      <c r="G76" s="6">
        <f>F76*D76</f>
        <v>3268</v>
      </c>
      <c r="H76" s="11">
        <v>13</v>
      </c>
      <c r="I76" s="11">
        <v>873</v>
      </c>
      <c r="J76" s="2" t="s">
        <v>20</v>
      </c>
      <c r="K76" s="11" t="s">
        <v>20</v>
      </c>
      <c r="L76" s="11" t="s">
        <v>137</v>
      </c>
      <c r="M76" s="15" t="s">
        <v>261</v>
      </c>
      <c r="N76" s="15" t="s">
        <v>22</v>
      </c>
      <c r="O76" s="12" t="s">
        <v>23</v>
      </c>
      <c r="P76" s="9" t="s">
        <v>262</v>
      </c>
      <c r="Q76" s="10"/>
    </row>
    <row r="77" spans="1:17" ht="25.5" x14ac:dyDescent="0.25">
      <c r="A77" s="11">
        <v>16</v>
      </c>
      <c r="B77" s="12" t="s">
        <v>92</v>
      </c>
      <c r="C77" s="12" t="s">
        <v>93</v>
      </c>
      <c r="D77" s="13">
        <v>66</v>
      </c>
      <c r="E77" s="14">
        <v>1082</v>
      </c>
      <c r="F77" s="14">
        <f>ROUND(E77*0.03,0)</f>
        <v>32</v>
      </c>
      <c r="G77" s="6">
        <f>F77*D77</f>
        <v>2112</v>
      </c>
      <c r="H77" s="11">
        <v>20</v>
      </c>
      <c r="I77" s="11">
        <v>706</v>
      </c>
      <c r="J77" s="7" t="s">
        <v>19</v>
      </c>
      <c r="K77" s="11" t="s">
        <v>20</v>
      </c>
      <c r="L77" s="11" t="s">
        <v>94</v>
      </c>
      <c r="M77" s="15" t="s">
        <v>95</v>
      </c>
      <c r="N77" s="15" t="s">
        <v>22</v>
      </c>
      <c r="O77" s="12" t="s">
        <v>23</v>
      </c>
      <c r="P77" s="9" t="s">
        <v>96</v>
      </c>
      <c r="Q77" s="10"/>
    </row>
    <row r="78" spans="1:17" x14ac:dyDescent="0.25">
      <c r="A78" s="11">
        <v>32</v>
      </c>
      <c r="B78" s="12" t="s">
        <v>156</v>
      </c>
      <c r="C78" s="12" t="s">
        <v>157</v>
      </c>
      <c r="D78" s="13">
        <v>42</v>
      </c>
      <c r="E78" s="14">
        <v>265</v>
      </c>
      <c r="F78" s="14">
        <f>ROUND(E78*0.03,0)</f>
        <v>8</v>
      </c>
      <c r="G78" s="6">
        <f>F78*D78</f>
        <v>336</v>
      </c>
      <c r="H78" s="11">
        <v>23</v>
      </c>
      <c r="I78" s="11">
        <v>540</v>
      </c>
      <c r="J78" s="7" t="s">
        <v>19</v>
      </c>
      <c r="K78" s="11" t="s">
        <v>20</v>
      </c>
      <c r="L78" s="11" t="s">
        <v>158</v>
      </c>
      <c r="M78" s="15" t="s">
        <v>95</v>
      </c>
      <c r="N78" s="15" t="s">
        <v>22</v>
      </c>
      <c r="O78" s="12" t="s">
        <v>23</v>
      </c>
      <c r="P78" s="9" t="s">
        <v>159</v>
      </c>
      <c r="Q78" s="10"/>
    </row>
    <row r="80" spans="1:17" x14ac:dyDescent="0.25">
      <c r="B80" s="18" t="s">
        <v>335</v>
      </c>
    </row>
  </sheetData>
  <autoFilter ref="A1:Q78" xr:uid="{00000000-0009-0000-0000-000000000000}">
    <sortState xmlns:xlrd2="http://schemas.microsoft.com/office/spreadsheetml/2017/richdata2" ref="A2:Q78">
      <sortCondition descending="1" ref="G1:G78"/>
    </sortState>
  </autoFilter>
  <dataValidations count="1">
    <dataValidation type="list" allowBlank="1" sqref="Q2:Q78" xr:uid="{00000000-0002-0000-0000-000000000000}">
      <formula1>"Sí,No,Tal vez"</formula1>
    </dataValidation>
  </dataValidations>
  <hyperlinks>
    <hyperlink ref="P40" r:id="rId1" xr:uid="{00000000-0004-0000-0000-000000000000}"/>
    <hyperlink ref="P2" r:id="rId2" xr:uid="{00000000-0004-0000-0000-000001000000}"/>
    <hyperlink ref="P71" r:id="rId3" xr:uid="{00000000-0004-0000-0000-000002000000}"/>
    <hyperlink ref="P27" r:id="rId4" xr:uid="{00000000-0004-0000-0000-000003000000}"/>
    <hyperlink ref="P33" r:id="rId5" xr:uid="{00000000-0004-0000-0000-000004000000}"/>
    <hyperlink ref="P57" r:id="rId6" xr:uid="{00000000-0004-0000-0000-000005000000}"/>
    <hyperlink ref="P39" r:id="rId7" xr:uid="{00000000-0004-0000-0000-000006000000}"/>
    <hyperlink ref="P3" r:id="rId8" xr:uid="{00000000-0004-0000-0000-000007000000}"/>
    <hyperlink ref="P36" r:id="rId9" xr:uid="{00000000-0004-0000-0000-000008000000}"/>
    <hyperlink ref="P4" r:id="rId10" xr:uid="{00000000-0004-0000-0000-000009000000}"/>
    <hyperlink ref="P64" r:id="rId11" xr:uid="{00000000-0004-0000-0000-00000A000000}"/>
    <hyperlink ref="P5" r:id="rId12" xr:uid="{00000000-0004-0000-0000-00000B000000}"/>
    <hyperlink ref="P35" r:id="rId13" xr:uid="{00000000-0004-0000-0000-00000C000000}"/>
    <hyperlink ref="P6" r:id="rId14" xr:uid="{00000000-0004-0000-0000-00000D000000}"/>
    <hyperlink ref="P59" r:id="rId15" xr:uid="{00000000-0004-0000-0000-00000E000000}"/>
    <hyperlink ref="P77" r:id="rId16" xr:uid="{00000000-0004-0000-0000-00000F000000}"/>
    <hyperlink ref="P48" r:id="rId17" xr:uid="{00000000-0004-0000-0000-000010000000}"/>
    <hyperlink ref="P70" r:id="rId18" xr:uid="{00000000-0004-0000-0000-000011000000}"/>
    <hyperlink ref="P42" r:id="rId19" xr:uid="{00000000-0004-0000-0000-000012000000}"/>
    <hyperlink ref="P72" r:id="rId20" xr:uid="{00000000-0004-0000-0000-000013000000}"/>
    <hyperlink ref="P75" r:id="rId21" xr:uid="{00000000-0004-0000-0000-000014000000}"/>
    <hyperlink ref="P46" r:id="rId22" xr:uid="{00000000-0004-0000-0000-000015000000}"/>
    <hyperlink ref="P7" r:id="rId23" xr:uid="{00000000-0004-0000-0000-000016000000}"/>
    <hyperlink ref="P8" r:id="rId24" xr:uid="{00000000-0004-0000-0000-000017000000}"/>
    <hyperlink ref="P9" r:id="rId25" xr:uid="{00000000-0004-0000-0000-000018000000}"/>
    <hyperlink ref="P10" r:id="rId26" xr:uid="{00000000-0004-0000-0000-000019000000}"/>
    <hyperlink ref="P65" r:id="rId27" xr:uid="{00000000-0004-0000-0000-00001A000000}"/>
    <hyperlink ref="P58" r:id="rId28" xr:uid="{00000000-0004-0000-0000-00001B000000}"/>
    <hyperlink ref="P32" r:id="rId29" xr:uid="{00000000-0004-0000-0000-00001C000000}"/>
    <hyperlink ref="P38" r:id="rId30" xr:uid="{00000000-0004-0000-0000-00001D000000}"/>
    <hyperlink ref="P47" r:id="rId31" xr:uid="{00000000-0004-0000-0000-00001E000000}"/>
    <hyperlink ref="P78" r:id="rId32" xr:uid="{00000000-0004-0000-0000-00001F000000}"/>
    <hyperlink ref="P37" r:id="rId33" xr:uid="{00000000-0004-0000-0000-000020000000}"/>
    <hyperlink ref="P11" r:id="rId34" xr:uid="{00000000-0004-0000-0000-000021000000}"/>
    <hyperlink ref="P12" r:id="rId35" xr:uid="{00000000-0004-0000-0000-000022000000}"/>
    <hyperlink ref="P13" r:id="rId36" xr:uid="{00000000-0004-0000-0000-000023000000}"/>
    <hyperlink ref="P14" r:id="rId37" xr:uid="{00000000-0004-0000-0000-000024000000}"/>
    <hyperlink ref="P15" r:id="rId38" xr:uid="{00000000-0004-0000-0000-000025000000}"/>
    <hyperlink ref="P16" r:id="rId39" xr:uid="{00000000-0004-0000-0000-000026000000}"/>
    <hyperlink ref="P61" r:id="rId40" xr:uid="{00000000-0004-0000-0000-000027000000}"/>
    <hyperlink ref="P50" r:id="rId41" xr:uid="{00000000-0004-0000-0000-000028000000}"/>
    <hyperlink ref="P17" r:id="rId42" xr:uid="{00000000-0004-0000-0000-000029000000}"/>
    <hyperlink ref="P44" r:id="rId43" xr:uid="{00000000-0004-0000-0000-00002A000000}"/>
    <hyperlink ref="P53" r:id="rId44" xr:uid="{00000000-0004-0000-0000-00002B000000}"/>
    <hyperlink ref="P73" r:id="rId45" xr:uid="{00000000-0004-0000-0000-00002C000000}"/>
    <hyperlink ref="P52" r:id="rId46" xr:uid="{00000000-0004-0000-0000-00002D000000}"/>
    <hyperlink ref="P45" r:id="rId47" xr:uid="{00000000-0004-0000-0000-00002E000000}"/>
    <hyperlink ref="P49" r:id="rId48" xr:uid="{00000000-0004-0000-0000-00002F000000}"/>
    <hyperlink ref="P23" r:id="rId49" xr:uid="{00000000-0004-0000-0000-000030000000}"/>
    <hyperlink ref="P69" r:id="rId50" xr:uid="{00000000-0004-0000-0000-000031000000}"/>
    <hyperlink ref="P29" r:id="rId51" xr:uid="{00000000-0004-0000-0000-000032000000}"/>
    <hyperlink ref="P54" r:id="rId52" xr:uid="{00000000-0004-0000-0000-000033000000}"/>
    <hyperlink ref="P24" r:id="rId53" xr:uid="{00000000-0004-0000-0000-000034000000}"/>
    <hyperlink ref="P26" r:id="rId54" xr:uid="{00000000-0004-0000-0000-000035000000}"/>
    <hyperlink ref="P28" r:id="rId55" xr:uid="{00000000-0004-0000-0000-000036000000}"/>
    <hyperlink ref="P25" r:id="rId56" xr:uid="{00000000-0004-0000-0000-000037000000}"/>
    <hyperlink ref="P18" r:id="rId57" xr:uid="{00000000-0004-0000-0000-000038000000}"/>
    <hyperlink ref="P76" r:id="rId58" xr:uid="{00000000-0004-0000-0000-000039000000}"/>
    <hyperlink ref="P19" r:id="rId59" xr:uid="{00000000-0004-0000-0000-00003A000000}"/>
    <hyperlink ref="P20" r:id="rId60" xr:uid="{00000000-0004-0000-0000-00003B000000}"/>
    <hyperlink ref="P34" r:id="rId61" xr:uid="{00000000-0004-0000-0000-00003C000000}"/>
    <hyperlink ref="P31" r:id="rId62" xr:uid="{00000000-0004-0000-0000-00003D000000}"/>
    <hyperlink ref="P51" r:id="rId63" xr:uid="{00000000-0004-0000-0000-00003E000000}"/>
    <hyperlink ref="P68" r:id="rId64" xr:uid="{00000000-0004-0000-0000-00003F000000}"/>
    <hyperlink ref="P60" r:id="rId65" xr:uid="{00000000-0004-0000-0000-000040000000}"/>
    <hyperlink ref="P56" r:id="rId66" xr:uid="{00000000-0004-0000-0000-000041000000}"/>
    <hyperlink ref="P41" r:id="rId67" xr:uid="{00000000-0004-0000-0000-000042000000}"/>
    <hyperlink ref="P66" r:id="rId68" xr:uid="{00000000-0004-0000-0000-000043000000}"/>
    <hyperlink ref="P63" r:id="rId69" xr:uid="{00000000-0004-0000-0000-000044000000}"/>
    <hyperlink ref="P62" r:id="rId70" xr:uid="{00000000-0004-0000-0000-000045000000}"/>
    <hyperlink ref="P30" r:id="rId71" xr:uid="{00000000-0004-0000-0000-000046000000}"/>
    <hyperlink ref="P21" r:id="rId72" xr:uid="{00000000-0004-0000-0000-000047000000}"/>
    <hyperlink ref="P55" r:id="rId73" xr:uid="{00000000-0004-0000-0000-000048000000}"/>
    <hyperlink ref="P74" r:id="rId74" xr:uid="{00000000-0004-0000-0000-000049000000}"/>
    <hyperlink ref="P67" r:id="rId75" xr:uid="{00000000-0004-0000-0000-00004A000000}"/>
    <hyperlink ref="P43" r:id="rId76" xr:uid="{00000000-0004-0000-0000-00004B000000}"/>
    <hyperlink ref="P22" r:id="rId77" xr:uid="{00000000-0004-0000-0000-00004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 estilo hogar-lifestyle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Harcha</cp:lastModifiedBy>
  <dcterms:created xsi:type="dcterms:W3CDTF">2026-07-08T23:29:07Z</dcterms:created>
  <dcterms:modified xsi:type="dcterms:W3CDTF">2026-07-08T23:32:51Z</dcterms:modified>
</cp:coreProperties>
</file>